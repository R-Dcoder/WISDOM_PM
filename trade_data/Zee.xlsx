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AM\"/>
    </mc:Choice>
  </mc:AlternateContent>
  <xr:revisionPtr revIDLastSave="0" documentId="8_{8BD7F89E-4EF3-4B10-9CC3-8C1939389C5C}" xr6:coauthVersionLast="47" xr6:coauthVersionMax="47" xr10:uidLastSave="{00000000-0000-0000-0000-000000000000}"/>
  <bookViews>
    <workbookView xWindow="-108" yWindow="-108" windowWidth="23256" windowHeight="12576" xr2:uid="{F61C99B8-98B8-45E0-8AE7-16C3ACEC6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0" i="1" l="1"/>
  <c r="C113" i="1"/>
  <c r="C108" i="1"/>
  <c r="G104" i="1"/>
  <c r="C104" i="1"/>
  <c r="C96" i="1"/>
  <c r="G88" i="1"/>
  <c r="C88" i="1"/>
  <c r="C58" i="1"/>
  <c r="G39" i="1"/>
  <c r="C39" i="1"/>
  <c r="G34" i="1"/>
  <c r="C34" i="1"/>
  <c r="C21" i="1"/>
  <c r="G17" i="1"/>
  <c r="C17" i="1"/>
</calcChain>
</file>

<file path=xl/sharedStrings.xml><?xml version="1.0" encoding="utf-8"?>
<sst xmlns="http://schemas.openxmlformats.org/spreadsheetml/2006/main" count="11" uniqueCount="7">
  <si>
    <t>Zee Entertainment Enterprises Ltd ( BSE: 505537
 NSE: ZEEL)</t>
  </si>
  <si>
    <t>Purchase</t>
  </si>
  <si>
    <t>Sale</t>
  </si>
  <si>
    <t>Date</t>
  </si>
  <si>
    <t>Qty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</si>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</sst>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5" formatCode="dd&quot;-&quot;mm&quot;-&quot;yy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indexed="8"/>
      <name val="Segoe UI"/>
      <family val="2"/>
    </font>
    <font>
      <sz val="10"/>
      <color indexed="8"/>
      <name val="Segoe UI"/>
      <family val="2"/>
    </font>
    <font>
      <sz val="10"/>
      <color indexed="8"/>
      <name val="MS Sans Serif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164" fontId="2" fillId="0" borderId="0" xfId="0" applyNumberFormat="1" applyFont="1" applyAlignment="1">
      <alignment vertical="center"/>
    </xf>
    <xf numFmtId="3" fontId="1" fillId="0" borderId="0" xfId="0" applyNumberFormat="1" applyFont="1"/>
    <xf numFmtId="4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1" fillId="0" borderId="2" xfId="0" applyFont="1" applyBorder="1"/>
    <xf numFmtId="3" fontId="1" fillId="0" borderId="2" xfId="0" applyNumberFormat="1" applyFont="1" applyBorder="1"/>
    <xf numFmtId="4" fontId="1" fillId="0" borderId="2" xfId="0" applyNumberFormat="1" applyFont="1" applyBorder="1"/>
    <xf numFmtId="165" fontId="3" fillId="0" borderId="0" xfId="1" applyNumberFormat="1" applyFont="1" applyAlignment="1">
      <alignment vertical="center"/>
    </xf>
    <xf numFmtId="3" fontId="3" fillId="0" borderId="0" xfId="1" applyNumberFormat="1" applyFont="1" applyAlignment="1">
      <alignment vertical="center"/>
    </xf>
    <xf numFmtId="4" fontId="3" fillId="0" borderId="0" xfId="1" applyNumberFormat="1" applyFont="1" applyAlignment="1">
      <alignment vertical="center"/>
    </xf>
    <xf numFmtId="0" fontId="1" fillId="0" borderId="1" xfId="0" applyFont="1" applyBorder="1"/>
    <xf numFmtId="3" fontId="1" fillId="0" borderId="1" xfId="0" applyNumberFormat="1" applyFont="1" applyBorder="1"/>
    <xf numFmtId="4" fontId="1" fillId="0" borderId="1" xfId="0" applyNumberFormat="1" applyFont="1" applyBorder="1"/>
    <xf numFmtId="2" fontId="3" fillId="0" borderId="0" xfId="0" applyNumberFormat="1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8BDDD713-BEDE-49A5-9AD9-5E5CF4B9E7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A79B-0EC7-4245-9532-97C83D60BF2F}">
  <dimension ref="A1:I196"/>
  <sheetViews>
    <sheetView tabSelected="1" workbookViewId="0">
      <selection activeCell="J15" sqref="J15"/>
    </sheetView>
  </sheetViews>
  <sheetFormatPr defaultColWidth="10.109375" defaultRowHeight="15" x14ac:dyDescent="0.35"/>
  <cols>
    <col min="1" max="1" width="9.33203125" style="4" bestFit="1" customWidth="1"/>
    <col min="2" max="2" width="12.5546875" style="2" bestFit="1" customWidth="1"/>
    <col min="3" max="3" width="7.109375" style="3" bestFit="1" customWidth="1"/>
    <col min="4" max="4" width="17" style="3" bestFit="1" customWidth="1"/>
    <col min="5" max="5" width="9.33203125" style="4" bestFit="1" customWidth="1"/>
    <col min="6" max="6" width="12.5546875" style="2" bestFit="1" customWidth="1"/>
    <col min="7" max="7" width="7.109375" style="3" bestFit="1" customWidth="1"/>
    <col min="8" max="8" width="17" style="3" bestFit="1" customWidth="1"/>
    <col min="9" max="16384" width="10.109375" style="4"/>
  </cols>
  <sheetData>
    <row r="1" spans="1:8" x14ac:dyDescent="0.35">
      <c r="A1" s="1" t="s">
        <v>0</v>
      </c>
    </row>
    <row r="2" spans="1:8" x14ac:dyDescent="0.35">
      <c r="A2" s="5" t="s">
        <v>1</v>
      </c>
      <c r="B2" s="5"/>
      <c r="C2" s="5"/>
      <c r="D2" s="5"/>
      <c r="E2" s="5" t="s">
        <v>2</v>
      </c>
      <c r="F2" s="5"/>
      <c r="G2" s="5"/>
      <c r="H2" s="5"/>
    </row>
    <row r="3" spans="1:8" x14ac:dyDescent="0.35">
      <c r="A3" s="6" t="s">
        <v>3</v>
      </c>
      <c r="B3" s="7" t="s">
        <v>4</v>
      </c>
      <c r="C3" s="8" t="s">
        <v>5</v>
      </c>
      <c r="D3" s="8" t="s">
        <v>6</v>
      </c>
      <c r="E3" s="6" t="s">
        <v>3</v>
      </c>
      <c r="F3" s="7" t="s">
        <v>4</v>
      </c>
      <c r="G3" s="8" t="s">
        <v>5</v>
      </c>
      <c r="H3" s="8" t="s">
        <v>6</v>
      </c>
    </row>
    <row r="4" spans="1:8" x14ac:dyDescent="0.35">
      <c r="A4" s="9">
        <v>44011</v>
      </c>
      <c r="B4" s="10">
        <v>4252.08</v>
      </c>
      <c r="C4" s="11">
        <v>171.25</v>
      </c>
      <c r="D4" s="11">
        <v>728168.7</v>
      </c>
      <c r="E4" s="12">
        <v>45377</v>
      </c>
      <c r="F4" s="10">
        <v>4252.08</v>
      </c>
      <c r="G4" s="11">
        <v>139.72</v>
      </c>
      <c r="H4" s="11">
        <v>594100.6176</v>
      </c>
    </row>
    <row r="5" spans="1:8" x14ac:dyDescent="0.35">
      <c r="A5" s="9">
        <v>44011</v>
      </c>
      <c r="B5" s="10">
        <v>1826.5360000000001</v>
      </c>
      <c r="C5" s="11">
        <v>171.26</v>
      </c>
      <c r="D5" s="11">
        <v>312812.55536</v>
      </c>
      <c r="E5" s="12">
        <v>45377</v>
      </c>
      <c r="F5" s="10">
        <v>1826.5360000000001</v>
      </c>
      <c r="G5" s="11">
        <v>139.71</v>
      </c>
      <c r="H5" s="11">
        <v>255185.34456</v>
      </c>
    </row>
    <row r="6" spans="1:8" x14ac:dyDescent="0.35">
      <c r="A6" s="9">
        <v>44658</v>
      </c>
      <c r="B6" s="10">
        <v>2651.64</v>
      </c>
      <c r="C6" s="11">
        <v>281.64999999999998</v>
      </c>
      <c r="D6" s="11">
        <v>746834.40599999984</v>
      </c>
      <c r="E6" s="12">
        <v>45378</v>
      </c>
      <c r="F6" s="10">
        <v>2651.64</v>
      </c>
      <c r="G6" s="11">
        <v>144.21</v>
      </c>
      <c r="H6" s="11">
        <v>382393.00440000003</v>
      </c>
    </row>
    <row r="7" spans="1:8" x14ac:dyDescent="0.35">
      <c r="A7" s="9">
        <v>44658</v>
      </c>
      <c r="B7" s="10">
        <v>43.48</v>
      </c>
      <c r="C7" s="11">
        <v>281.64</v>
      </c>
      <c r="D7" s="11">
        <v>12245.707200000001</v>
      </c>
      <c r="E7" s="12">
        <v>45378</v>
      </c>
      <c r="F7" s="10">
        <v>43.48</v>
      </c>
      <c r="G7" s="11">
        <v>144.21</v>
      </c>
      <c r="H7" s="11">
        <v>6270.2507999999998</v>
      </c>
    </row>
    <row r="8" spans="1:8" x14ac:dyDescent="0.35">
      <c r="A8" s="9">
        <v>44789</v>
      </c>
      <c r="B8" s="10">
        <v>130.62799999999999</v>
      </c>
      <c r="C8" s="11">
        <v>239.88</v>
      </c>
      <c r="D8" s="11">
        <v>31335.04464</v>
      </c>
      <c r="E8" s="12">
        <v>45378</v>
      </c>
      <c r="F8" s="10">
        <v>130.62799999999999</v>
      </c>
      <c r="G8" s="11">
        <v>144.21</v>
      </c>
      <c r="H8" s="11">
        <v>18837.863879999997</v>
      </c>
    </row>
    <row r="9" spans="1:8" x14ac:dyDescent="0.35">
      <c r="A9" s="9">
        <v>44789</v>
      </c>
      <c r="B9" s="10">
        <v>67.171999999999997</v>
      </c>
      <c r="C9" s="11">
        <v>239.87</v>
      </c>
      <c r="D9" s="11">
        <v>16112.547640000001</v>
      </c>
      <c r="E9" s="12">
        <v>45378</v>
      </c>
      <c r="F9" s="10">
        <v>67.171999999999997</v>
      </c>
      <c r="G9" s="11">
        <v>144.21</v>
      </c>
      <c r="H9" s="11">
        <v>9686.8741200000004</v>
      </c>
    </row>
    <row r="10" spans="1:8" x14ac:dyDescent="0.35">
      <c r="A10" s="9">
        <v>44790</v>
      </c>
      <c r="B10" s="10">
        <v>770.76</v>
      </c>
      <c r="C10" s="11">
        <v>243.17000000000002</v>
      </c>
      <c r="D10" s="11">
        <v>187425.70920000001</v>
      </c>
      <c r="E10" s="12">
        <v>45378</v>
      </c>
      <c r="F10" s="10">
        <v>770.76</v>
      </c>
      <c r="G10" s="11">
        <v>144.22</v>
      </c>
      <c r="H10" s="11">
        <v>111159.00720000001</v>
      </c>
    </row>
    <row r="11" spans="1:8" x14ac:dyDescent="0.35">
      <c r="A11" s="9">
        <v>44790</v>
      </c>
      <c r="B11" s="10">
        <v>29.24</v>
      </c>
      <c r="C11" s="11">
        <v>243.15999999999997</v>
      </c>
      <c r="D11" s="11">
        <v>7109.9983999999986</v>
      </c>
      <c r="E11" s="12">
        <v>45378</v>
      </c>
      <c r="F11" s="10">
        <v>29.24</v>
      </c>
      <c r="G11" s="11">
        <v>144.22</v>
      </c>
      <c r="H11" s="11">
        <v>4216.9928</v>
      </c>
    </row>
    <row r="12" spans="1:8" x14ac:dyDescent="0.35">
      <c r="A12" s="9">
        <v>44805</v>
      </c>
      <c r="B12" s="10">
        <v>153.916</v>
      </c>
      <c r="C12" s="11">
        <v>251.46</v>
      </c>
      <c r="D12" s="11">
        <v>38703.717360000002</v>
      </c>
      <c r="E12" s="12">
        <v>45378</v>
      </c>
      <c r="F12" s="10">
        <v>153.916</v>
      </c>
      <c r="G12" s="11">
        <v>144.22</v>
      </c>
      <c r="H12" s="11">
        <v>22197.765520000001</v>
      </c>
    </row>
    <row r="13" spans="1:8" x14ac:dyDescent="0.35">
      <c r="A13" s="9">
        <v>44805</v>
      </c>
      <c r="B13" s="10">
        <v>40.131999999999998</v>
      </c>
      <c r="C13" s="11">
        <v>251.45000000000002</v>
      </c>
      <c r="D13" s="11">
        <v>10091.1914</v>
      </c>
      <c r="E13" s="12">
        <v>45378</v>
      </c>
      <c r="F13" s="10">
        <v>40.131999999999998</v>
      </c>
      <c r="G13" s="11">
        <v>144.22</v>
      </c>
      <c r="H13" s="11">
        <v>5787.8370400000003</v>
      </c>
    </row>
    <row r="14" spans="1:8" x14ac:dyDescent="0.35">
      <c r="A14" s="9">
        <v>44011</v>
      </c>
      <c r="B14" s="10">
        <v>2321.384</v>
      </c>
      <c r="C14" s="11">
        <v>171.25</v>
      </c>
      <c r="D14" s="11">
        <v>397537.01</v>
      </c>
      <c r="E14" s="12">
        <v>45377</v>
      </c>
      <c r="F14" s="10">
        <v>2321.384</v>
      </c>
      <c r="G14" s="11">
        <v>139.71</v>
      </c>
      <c r="H14" s="11">
        <v>324320.55864</v>
      </c>
    </row>
    <row r="15" spans="1:8" x14ac:dyDescent="0.35">
      <c r="A15" s="9">
        <v>44011</v>
      </c>
      <c r="B15" s="10">
        <v>2200</v>
      </c>
      <c r="C15" s="11">
        <v>171.26</v>
      </c>
      <c r="D15" s="11">
        <v>376772</v>
      </c>
      <c r="E15" s="12">
        <v>45378</v>
      </c>
      <c r="F15" s="10">
        <v>2200</v>
      </c>
      <c r="G15" s="11">
        <v>144.21</v>
      </c>
      <c r="H15" s="11">
        <v>317262</v>
      </c>
    </row>
    <row r="16" spans="1:8" ht="15.6" thickBot="1" x14ac:dyDescent="0.4">
      <c r="A16" s="9">
        <v>44789</v>
      </c>
      <c r="B16" s="10">
        <v>2313.0320000000002</v>
      </c>
      <c r="C16" s="11">
        <v>239.87</v>
      </c>
      <c r="D16" s="11">
        <v>554826.98583999998</v>
      </c>
      <c r="E16" s="12">
        <v>45378</v>
      </c>
      <c r="F16" s="10">
        <v>2313.0320000000002</v>
      </c>
      <c r="G16" s="11">
        <v>144.22</v>
      </c>
      <c r="H16" s="11">
        <v>333585.47504000005</v>
      </c>
    </row>
    <row r="17" spans="1:8" ht="15.6" thickBot="1" x14ac:dyDescent="0.4">
      <c r="A17" s="13"/>
      <c r="B17" s="14">
        <v>16800</v>
      </c>
      <c r="C17" s="15">
        <f>+D17/B17</f>
        <v>203.56997458571433</v>
      </c>
      <c r="D17" s="15">
        <v>3419975.5730400006</v>
      </c>
      <c r="E17" s="13"/>
      <c r="F17" s="14">
        <v>16800</v>
      </c>
      <c r="G17" s="15">
        <f>+H17/F17</f>
        <v>141.96449949999999</v>
      </c>
      <c r="H17" s="15">
        <v>2385003.5915999999</v>
      </c>
    </row>
    <row r="19" spans="1:8" x14ac:dyDescent="0.35">
      <c r="A19" s="9">
        <v>45712</v>
      </c>
      <c r="B19" s="10">
        <v>5298.66</v>
      </c>
      <c r="C19" s="11">
        <v>96.28</v>
      </c>
      <c r="D19" s="11">
        <v>510154.98480000003</v>
      </c>
    </row>
    <row r="20" spans="1:8" ht="15.6" thickBot="1" x14ac:dyDescent="0.4">
      <c r="A20" s="9">
        <v>45712</v>
      </c>
      <c r="B20" s="10">
        <v>4701.34</v>
      </c>
      <c r="C20" s="11">
        <v>96.27</v>
      </c>
      <c r="D20" s="11">
        <v>452598.00180000003</v>
      </c>
    </row>
    <row r="21" spans="1:8" ht="15.6" thickBot="1" x14ac:dyDescent="0.4">
      <c r="A21" s="13"/>
      <c r="B21" s="14">
        <v>10000</v>
      </c>
      <c r="C21" s="15">
        <f>+D21/B21</f>
        <v>96.275298660000004</v>
      </c>
      <c r="D21" s="15">
        <v>962752.98660000006</v>
      </c>
      <c r="E21" s="13"/>
      <c r="F21" s="14"/>
      <c r="G21" s="15"/>
      <c r="H21" s="15"/>
    </row>
    <row r="23" spans="1:8" x14ac:dyDescent="0.35">
      <c r="A23" s="16">
        <v>44617</v>
      </c>
      <c r="B23" s="17">
        <v>3693.3440000000001</v>
      </c>
      <c r="C23" s="18">
        <v>235.55</v>
      </c>
      <c r="D23" s="3">
        <v>869967.17920000001</v>
      </c>
      <c r="E23" s="16">
        <v>45377</v>
      </c>
      <c r="F23" s="17">
        <v>3693.3440000000001</v>
      </c>
      <c r="G23" s="18">
        <v>140.41</v>
      </c>
      <c r="H23" s="18">
        <v>518582.43104</v>
      </c>
    </row>
    <row r="24" spans="1:8" x14ac:dyDescent="0.35">
      <c r="A24" s="16">
        <v>44617</v>
      </c>
      <c r="B24" s="17">
        <v>306.65600000000001</v>
      </c>
      <c r="C24" s="18">
        <v>235.54</v>
      </c>
      <c r="D24" s="3">
        <v>72229.754239999995</v>
      </c>
      <c r="E24" s="16">
        <v>45377</v>
      </c>
      <c r="F24" s="17">
        <v>306.65600000000001</v>
      </c>
      <c r="G24" s="18">
        <v>140.41</v>
      </c>
      <c r="H24" s="18">
        <v>43057.568960000004</v>
      </c>
    </row>
    <row r="25" spans="1:8" x14ac:dyDescent="0.35">
      <c r="A25" s="16">
        <v>44620</v>
      </c>
      <c r="B25" s="17">
        <v>2340.12</v>
      </c>
      <c r="C25" s="18">
        <v>224.19</v>
      </c>
      <c r="D25" s="3">
        <v>524631.50280000002</v>
      </c>
      <c r="E25" s="16">
        <v>45377</v>
      </c>
      <c r="F25" s="17">
        <v>2340.12</v>
      </c>
      <c r="G25" s="18">
        <v>140.41</v>
      </c>
      <c r="H25" s="18">
        <v>328576.24919999996</v>
      </c>
    </row>
    <row r="26" spans="1:8" x14ac:dyDescent="0.35">
      <c r="A26" s="16">
        <v>44620</v>
      </c>
      <c r="B26" s="17">
        <v>422.452</v>
      </c>
      <c r="C26" s="18">
        <v>224.20000000000002</v>
      </c>
      <c r="D26" s="3">
        <v>94713.738400000002</v>
      </c>
      <c r="E26" s="16">
        <v>45377</v>
      </c>
      <c r="F26" s="17">
        <v>422.452</v>
      </c>
      <c r="G26" s="18">
        <v>140.41999999999999</v>
      </c>
      <c r="H26" s="18">
        <v>59320.709839999989</v>
      </c>
    </row>
    <row r="27" spans="1:8" x14ac:dyDescent="0.35">
      <c r="A27" s="16">
        <v>44733</v>
      </c>
      <c r="B27" s="17">
        <v>1058.9159999999999</v>
      </c>
      <c r="C27" s="18">
        <v>218.79</v>
      </c>
      <c r="D27" s="3">
        <v>231680.23163999998</v>
      </c>
      <c r="E27" s="16">
        <v>45377</v>
      </c>
      <c r="F27" s="17">
        <v>1058.9159999999999</v>
      </c>
      <c r="G27" s="18">
        <v>140.41999999999999</v>
      </c>
      <c r="H27" s="18">
        <v>148692.98472000001</v>
      </c>
    </row>
    <row r="28" spans="1:8" x14ac:dyDescent="0.35">
      <c r="A28" s="16">
        <v>44733</v>
      </c>
      <c r="B28" s="17">
        <v>541.08399999999995</v>
      </c>
      <c r="C28" s="18">
        <v>218.8</v>
      </c>
      <c r="D28" s="3">
        <v>118389.1792</v>
      </c>
      <c r="E28" s="16">
        <v>45377</v>
      </c>
      <c r="F28" s="17">
        <v>541.08399999999995</v>
      </c>
      <c r="G28" s="18">
        <v>140.41999999999999</v>
      </c>
      <c r="H28" s="18">
        <v>75979.015279999992</v>
      </c>
    </row>
    <row r="29" spans="1:8" x14ac:dyDescent="0.35">
      <c r="A29" s="16">
        <v>44789</v>
      </c>
      <c r="B29" s="17">
        <v>346.08</v>
      </c>
      <c r="C29" s="18">
        <v>245.07</v>
      </c>
      <c r="D29" s="3">
        <v>84813.825599999996</v>
      </c>
      <c r="E29" s="16">
        <v>45377</v>
      </c>
      <c r="F29" s="17">
        <v>346.08</v>
      </c>
      <c r="G29" s="18">
        <v>140.41999999999999</v>
      </c>
      <c r="H29" s="18">
        <v>48596.553599999992</v>
      </c>
    </row>
    <row r="30" spans="1:8" x14ac:dyDescent="0.35">
      <c r="A30" s="16">
        <v>44789</v>
      </c>
      <c r="B30" s="17">
        <v>53.92</v>
      </c>
      <c r="C30" s="18">
        <v>245.08</v>
      </c>
      <c r="D30" s="3">
        <v>13214.713599999999</v>
      </c>
      <c r="E30" s="16">
        <v>45377</v>
      </c>
      <c r="F30" s="17">
        <v>53.92</v>
      </c>
      <c r="G30" s="18">
        <v>140.41999999999999</v>
      </c>
      <c r="H30" s="18">
        <v>7571.4463999999989</v>
      </c>
    </row>
    <row r="31" spans="1:8" x14ac:dyDescent="0.35">
      <c r="A31" s="16">
        <v>44805</v>
      </c>
      <c r="B31" s="17">
        <v>1983.1120000000001</v>
      </c>
      <c r="C31" s="18">
        <v>251.22</v>
      </c>
      <c r="D31" s="3">
        <v>498197.39663999999</v>
      </c>
      <c r="E31" s="16">
        <v>45377</v>
      </c>
      <c r="F31" s="17">
        <v>1983.1120000000001</v>
      </c>
      <c r="G31" s="18">
        <v>140.41999999999999</v>
      </c>
      <c r="H31" s="18">
        <v>278468.58703999995</v>
      </c>
    </row>
    <row r="32" spans="1:8" x14ac:dyDescent="0.35">
      <c r="A32" s="16">
        <v>44805</v>
      </c>
      <c r="B32" s="17">
        <v>416.88799999999998</v>
      </c>
      <c r="C32" s="18">
        <v>251.21</v>
      </c>
      <c r="D32" s="3">
        <v>104726.43448000001</v>
      </c>
      <c r="E32" s="16">
        <v>45377</v>
      </c>
      <c r="F32" s="17">
        <v>416.88799999999998</v>
      </c>
      <c r="G32" s="18">
        <v>140.41999999999999</v>
      </c>
      <c r="H32" s="18">
        <v>58539.412959999994</v>
      </c>
    </row>
    <row r="33" spans="1:8" ht="15.6" thickBot="1" x14ac:dyDescent="0.4">
      <c r="A33" s="16">
        <v>44620</v>
      </c>
      <c r="B33" s="17">
        <v>1237.4280000000001</v>
      </c>
      <c r="C33" s="18">
        <v>224.19</v>
      </c>
      <c r="D33" s="3">
        <v>277418.98332</v>
      </c>
      <c r="E33" s="16">
        <v>45377</v>
      </c>
      <c r="F33" s="17">
        <v>1237.4280000000001</v>
      </c>
      <c r="G33" s="18">
        <v>140.41999999999999</v>
      </c>
      <c r="H33" s="18">
        <v>173759.63975999996</v>
      </c>
    </row>
    <row r="34" spans="1:8" ht="15.6" thickBot="1" x14ac:dyDescent="0.4">
      <c r="A34" s="13"/>
      <c r="B34" s="14">
        <v>12400</v>
      </c>
      <c r="C34" s="15">
        <f>+D34/B34</f>
        <v>233.06314025161294</v>
      </c>
      <c r="D34" s="15">
        <v>2889982.9391200002</v>
      </c>
      <c r="E34" s="13"/>
      <c r="F34" s="14">
        <v>12400</v>
      </c>
      <c r="G34" s="15">
        <f>+H34/F34</f>
        <v>140.41488699999999</v>
      </c>
      <c r="H34" s="15">
        <v>1741144.5988</v>
      </c>
    </row>
    <row r="36" spans="1:8" x14ac:dyDescent="0.35">
      <c r="A36" s="12">
        <v>45470</v>
      </c>
      <c r="B36" s="10">
        <v>654.48</v>
      </c>
      <c r="C36" s="11">
        <v>151.26</v>
      </c>
      <c r="D36" s="11">
        <v>98996.644799999995</v>
      </c>
      <c r="E36" s="12">
        <v>45531</v>
      </c>
      <c r="F36" s="10">
        <v>654.48</v>
      </c>
      <c r="G36" s="11">
        <v>149.35</v>
      </c>
      <c r="H36" s="11">
        <v>97746.588000000003</v>
      </c>
    </row>
    <row r="37" spans="1:8" x14ac:dyDescent="0.35">
      <c r="A37" s="12">
        <v>45470</v>
      </c>
      <c r="B37" s="10">
        <v>388.35599999999999</v>
      </c>
      <c r="C37" s="11">
        <v>151.25</v>
      </c>
      <c r="D37" s="11">
        <v>58738.845000000001</v>
      </c>
      <c r="E37" s="12">
        <v>45531</v>
      </c>
      <c r="F37" s="10">
        <v>388.35599999999999</v>
      </c>
      <c r="G37" s="11">
        <v>149.35</v>
      </c>
      <c r="H37" s="11">
        <v>58000.9686</v>
      </c>
    </row>
    <row r="38" spans="1:8" ht="15.6" thickBot="1" x14ac:dyDescent="0.4">
      <c r="A38" s="12">
        <v>45470</v>
      </c>
      <c r="B38" s="10">
        <v>157.16399999999999</v>
      </c>
      <c r="C38" s="11">
        <v>151.25</v>
      </c>
      <c r="D38" s="11">
        <v>23771.055</v>
      </c>
      <c r="E38" s="12">
        <v>45531</v>
      </c>
      <c r="F38" s="10">
        <v>157.16399999999999</v>
      </c>
      <c r="G38" s="11">
        <v>149.36000000000001</v>
      </c>
      <c r="H38" s="11">
        <v>23474.015039999998</v>
      </c>
    </row>
    <row r="39" spans="1:8" ht="15.6" thickBot="1" x14ac:dyDescent="0.4">
      <c r="A39" s="13"/>
      <c r="B39" s="14">
        <v>1200</v>
      </c>
      <c r="C39" s="15">
        <f>+D39/B39</f>
        <v>151.25545400000001</v>
      </c>
      <c r="D39" s="15">
        <v>181506.5448</v>
      </c>
      <c r="E39" s="13"/>
      <c r="F39" s="14">
        <v>1200</v>
      </c>
      <c r="G39" s="15">
        <f>+H39/F39</f>
        <v>149.35130969999997</v>
      </c>
      <c r="H39" s="15">
        <v>179221.57163999998</v>
      </c>
    </row>
    <row r="41" spans="1:8" x14ac:dyDescent="0.35">
      <c r="A41" s="12">
        <v>45470</v>
      </c>
      <c r="B41" s="10">
        <v>12</v>
      </c>
      <c r="C41" s="11">
        <v>151.25</v>
      </c>
      <c r="D41" s="11">
        <v>1815</v>
      </c>
    </row>
    <row r="42" spans="1:8" x14ac:dyDescent="0.35">
      <c r="A42" s="12">
        <v>45694</v>
      </c>
      <c r="B42" s="10">
        <v>528.02</v>
      </c>
      <c r="C42" s="11">
        <v>109.63</v>
      </c>
      <c r="D42" s="11">
        <v>57886.832600000002</v>
      </c>
    </row>
    <row r="43" spans="1:8" x14ac:dyDescent="0.35">
      <c r="A43" s="12">
        <v>45694</v>
      </c>
      <c r="B43" s="10">
        <v>967.54399999999998</v>
      </c>
      <c r="C43" s="11">
        <v>109.64</v>
      </c>
      <c r="D43" s="11">
        <v>106081.52416</v>
      </c>
    </row>
    <row r="44" spans="1:8" x14ac:dyDescent="0.35">
      <c r="A44" s="12">
        <v>45712</v>
      </c>
      <c r="B44" s="10">
        <v>857.34400000000005</v>
      </c>
      <c r="C44" s="11">
        <v>96.7</v>
      </c>
      <c r="D44" s="11">
        <v>82905.164799999999</v>
      </c>
    </row>
    <row r="45" spans="1:8" x14ac:dyDescent="0.35">
      <c r="A45" s="12">
        <v>45712</v>
      </c>
      <c r="B45" s="10">
        <v>142.65600000000001</v>
      </c>
      <c r="C45" s="11">
        <v>96.710000000000008</v>
      </c>
      <c r="D45" s="11">
        <v>13796.261759999999</v>
      </c>
    </row>
    <row r="46" spans="1:8" x14ac:dyDescent="0.35">
      <c r="A46" s="12">
        <v>45713</v>
      </c>
      <c r="B46" s="10">
        <v>907.49599999999998</v>
      </c>
      <c r="C46" s="11">
        <v>99.47</v>
      </c>
      <c r="D46" s="11">
        <v>90268.627120000005</v>
      </c>
    </row>
    <row r="47" spans="1:8" x14ac:dyDescent="0.35">
      <c r="A47" s="12">
        <v>45713</v>
      </c>
      <c r="B47" s="10">
        <v>92.504000000000005</v>
      </c>
      <c r="C47" s="11">
        <v>99.48</v>
      </c>
      <c r="D47" s="11">
        <v>9202.2979199999991</v>
      </c>
    </row>
    <row r="48" spans="1:8" x14ac:dyDescent="0.35">
      <c r="A48" s="12">
        <v>45716</v>
      </c>
      <c r="B48" s="10">
        <v>650.31600000000003</v>
      </c>
      <c r="C48" s="11">
        <v>94.01</v>
      </c>
      <c r="D48" s="11">
        <v>61136.207160000005</v>
      </c>
    </row>
    <row r="49" spans="1:8" x14ac:dyDescent="0.35">
      <c r="A49" s="12">
        <v>45716</v>
      </c>
      <c r="B49" s="10">
        <v>349.68400000000003</v>
      </c>
      <c r="C49" s="11">
        <v>94</v>
      </c>
      <c r="D49" s="11">
        <v>32870.296000000002</v>
      </c>
    </row>
    <row r="50" spans="1:8" x14ac:dyDescent="0.35">
      <c r="A50" s="12">
        <v>45723</v>
      </c>
      <c r="B50" s="10">
        <v>671.67200000000003</v>
      </c>
      <c r="C50" s="11">
        <v>104.18</v>
      </c>
      <c r="D50" s="11">
        <v>69974.788960000005</v>
      </c>
    </row>
    <row r="51" spans="1:8" x14ac:dyDescent="0.35">
      <c r="A51" s="12">
        <v>45723</v>
      </c>
      <c r="B51" s="10">
        <v>528.32799999999997</v>
      </c>
      <c r="C51" s="11">
        <v>104.19</v>
      </c>
      <c r="D51" s="11">
        <v>55046.494319999998</v>
      </c>
    </row>
    <row r="52" spans="1:8" x14ac:dyDescent="0.35">
      <c r="A52" s="12">
        <v>45737</v>
      </c>
      <c r="B52" s="10">
        <v>434.44</v>
      </c>
      <c r="C52" s="11">
        <v>106.24000000000001</v>
      </c>
      <c r="D52" s="11">
        <v>46154.905599999998</v>
      </c>
    </row>
    <row r="53" spans="1:8" x14ac:dyDescent="0.35">
      <c r="A53" s="12">
        <v>45737</v>
      </c>
      <c r="B53" s="10">
        <v>193.56</v>
      </c>
      <c r="C53" s="11">
        <v>106.25</v>
      </c>
      <c r="D53" s="11">
        <v>20565.75</v>
      </c>
    </row>
    <row r="54" spans="1:8" x14ac:dyDescent="0.35">
      <c r="A54" s="12">
        <v>45831</v>
      </c>
      <c r="B54" s="10">
        <v>1942.636</v>
      </c>
      <c r="C54" s="11">
        <v>147.22999999999999</v>
      </c>
      <c r="D54" s="11">
        <v>286014.29827999999</v>
      </c>
    </row>
    <row r="55" spans="1:8" x14ac:dyDescent="0.35">
      <c r="A55" s="12">
        <v>45831</v>
      </c>
      <c r="B55" s="10">
        <v>57.363999999999997</v>
      </c>
      <c r="C55" s="11">
        <v>147.22</v>
      </c>
      <c r="D55" s="11">
        <v>8445.1280800000004</v>
      </c>
    </row>
    <row r="56" spans="1:8" x14ac:dyDescent="0.35">
      <c r="A56" s="12">
        <v>45834</v>
      </c>
      <c r="B56" s="10">
        <v>370.04</v>
      </c>
      <c r="C56" s="11">
        <v>144.1</v>
      </c>
      <c r="D56" s="11">
        <v>53322.764000000003</v>
      </c>
    </row>
    <row r="57" spans="1:8" ht="15.6" thickBot="1" x14ac:dyDescent="0.4">
      <c r="A57" s="12">
        <v>45834</v>
      </c>
      <c r="B57" s="10">
        <v>429.96</v>
      </c>
      <c r="C57" s="11">
        <v>144.09</v>
      </c>
      <c r="D57" s="11">
        <v>61952.936399999999</v>
      </c>
    </row>
    <row r="58" spans="1:8" ht="15.6" thickBot="1" x14ac:dyDescent="0.4">
      <c r="A58" s="13"/>
      <c r="B58" s="14">
        <v>9135.5640000000003</v>
      </c>
      <c r="C58" s="15">
        <f>+D58/B58</f>
        <v>115.74975307052745</v>
      </c>
      <c r="D58" s="15">
        <v>1057439.2771600001</v>
      </c>
      <c r="E58" s="13"/>
      <c r="F58" s="14"/>
      <c r="G58" s="15"/>
      <c r="H58" s="15"/>
    </row>
    <row r="60" spans="1:8" x14ac:dyDescent="0.35">
      <c r="A60" s="12">
        <v>43866</v>
      </c>
      <c r="B60" s="10">
        <v>8.0000000000000002E-3</v>
      </c>
      <c r="C60" s="11">
        <v>238.16</v>
      </c>
      <c r="D60" s="11">
        <v>1.9052799999999999</v>
      </c>
      <c r="E60" s="12">
        <v>43868</v>
      </c>
      <c r="F60" s="10">
        <v>8.0000000000000002E-3</v>
      </c>
      <c r="G60" s="11">
        <v>257.24</v>
      </c>
      <c r="H60" s="11">
        <v>2.0579200000000002</v>
      </c>
    </row>
    <row r="61" spans="1:8" x14ac:dyDescent="0.35">
      <c r="A61" s="12">
        <v>43866</v>
      </c>
      <c r="B61" s="10">
        <v>137.38</v>
      </c>
      <c r="C61" s="11">
        <v>238.17000000000002</v>
      </c>
      <c r="D61" s="11">
        <v>32719.794600000001</v>
      </c>
      <c r="E61" s="12">
        <v>43913</v>
      </c>
      <c r="F61" s="10">
        <v>137.38</v>
      </c>
      <c r="G61" s="11">
        <v>128.19</v>
      </c>
      <c r="H61" s="11">
        <v>17610.742200000001</v>
      </c>
    </row>
    <row r="62" spans="1:8" x14ac:dyDescent="0.35">
      <c r="A62" s="12">
        <v>43866</v>
      </c>
      <c r="B62" s="10">
        <v>2.968</v>
      </c>
      <c r="C62" s="11">
        <v>238.16</v>
      </c>
      <c r="D62" s="11">
        <v>706.85888</v>
      </c>
      <c r="E62" s="12">
        <v>43871</v>
      </c>
      <c r="F62" s="10">
        <v>2.968</v>
      </c>
      <c r="G62" s="11">
        <v>251.5</v>
      </c>
      <c r="H62" s="11">
        <v>746.452</v>
      </c>
    </row>
    <row r="63" spans="1:8" x14ac:dyDescent="0.35">
      <c r="A63" s="12">
        <v>43866</v>
      </c>
      <c r="B63" s="10">
        <v>772.24</v>
      </c>
      <c r="C63" s="11">
        <v>238.16</v>
      </c>
      <c r="D63" s="11">
        <v>183916.6784</v>
      </c>
      <c r="E63" s="12">
        <v>43913</v>
      </c>
      <c r="F63" s="10">
        <v>772.24</v>
      </c>
      <c r="G63" s="11">
        <v>128.19</v>
      </c>
      <c r="H63" s="11">
        <v>98993.445600000006</v>
      </c>
    </row>
    <row r="64" spans="1:8" x14ac:dyDescent="0.35">
      <c r="A64" s="12">
        <v>43866</v>
      </c>
      <c r="B64" s="10">
        <v>690.38</v>
      </c>
      <c r="C64" s="11">
        <v>238.17000000000002</v>
      </c>
      <c r="D64" s="11">
        <v>164427.8046</v>
      </c>
      <c r="E64" s="12">
        <v>43913</v>
      </c>
      <c r="F64" s="10">
        <v>690.38</v>
      </c>
      <c r="G64" s="11">
        <v>128.18</v>
      </c>
      <c r="H64" s="11">
        <v>88492.9084</v>
      </c>
    </row>
    <row r="65" spans="1:8" x14ac:dyDescent="0.35">
      <c r="A65" s="12">
        <v>43866</v>
      </c>
      <c r="B65" s="10">
        <v>1197.0239999999999</v>
      </c>
      <c r="C65" s="11">
        <v>238.17000000000002</v>
      </c>
      <c r="D65" s="11">
        <v>285095.20607999997</v>
      </c>
      <c r="E65" s="12">
        <v>43921</v>
      </c>
      <c r="F65" s="10">
        <v>1197.0239999999999</v>
      </c>
      <c r="G65" s="11">
        <v>127.19</v>
      </c>
      <c r="H65" s="11">
        <v>152249.48256</v>
      </c>
    </row>
    <row r="66" spans="1:8" x14ac:dyDescent="0.35">
      <c r="A66" s="12">
        <v>43867</v>
      </c>
      <c r="B66" s="10">
        <v>2371.08</v>
      </c>
      <c r="C66" s="11">
        <v>236.13</v>
      </c>
      <c r="D66" s="11">
        <v>559883.12040000001</v>
      </c>
      <c r="E66" s="12">
        <v>43921</v>
      </c>
      <c r="F66" s="10">
        <v>2371.08</v>
      </c>
      <c r="G66" s="11">
        <v>127.19</v>
      </c>
      <c r="H66" s="11">
        <v>301577.66519999999</v>
      </c>
    </row>
    <row r="67" spans="1:8" x14ac:dyDescent="0.35">
      <c r="A67" s="12">
        <v>43867</v>
      </c>
      <c r="B67" s="10">
        <v>1926.6559999999999</v>
      </c>
      <c r="C67" s="11">
        <v>236.12</v>
      </c>
      <c r="D67" s="11">
        <v>454922.01472000004</v>
      </c>
      <c r="E67" s="12">
        <v>43921</v>
      </c>
      <c r="F67" s="10">
        <v>1926.6559999999999</v>
      </c>
      <c r="G67" s="11">
        <v>127.18</v>
      </c>
      <c r="H67" s="11">
        <v>245032.11008000001</v>
      </c>
    </row>
    <row r="68" spans="1:8" x14ac:dyDescent="0.35">
      <c r="A68" s="12">
        <v>43867</v>
      </c>
      <c r="B68" s="10">
        <v>102.264</v>
      </c>
      <c r="C68" s="11">
        <v>236.13</v>
      </c>
      <c r="D68" s="11">
        <v>24147.598320000001</v>
      </c>
      <c r="E68" s="12">
        <v>43921</v>
      </c>
      <c r="F68" s="10">
        <v>102.264</v>
      </c>
      <c r="G68" s="11">
        <v>127.18</v>
      </c>
      <c r="H68" s="11">
        <v>13005.935519999999</v>
      </c>
    </row>
    <row r="69" spans="1:8" x14ac:dyDescent="0.35">
      <c r="A69" s="12">
        <v>44036</v>
      </c>
      <c r="B69" s="10">
        <v>1280.72</v>
      </c>
      <c r="C69" s="11">
        <v>153.21</v>
      </c>
      <c r="D69" s="11">
        <v>196219.11120000001</v>
      </c>
      <c r="E69" s="12">
        <v>44595</v>
      </c>
      <c r="F69" s="10">
        <v>1280.72</v>
      </c>
      <c r="G69" s="11">
        <v>290.05</v>
      </c>
      <c r="H69" s="11">
        <v>371472.83600000001</v>
      </c>
    </row>
    <row r="70" spans="1:8" x14ac:dyDescent="0.35">
      <c r="A70" s="12">
        <v>44036</v>
      </c>
      <c r="B70" s="10">
        <v>69.744</v>
      </c>
      <c r="C70" s="11">
        <v>153.19999999999999</v>
      </c>
      <c r="D70" s="11">
        <v>10684.780799999999</v>
      </c>
      <c r="E70" s="12">
        <v>44595</v>
      </c>
      <c r="F70" s="10">
        <v>69.744</v>
      </c>
      <c r="G70" s="11">
        <v>290.05</v>
      </c>
      <c r="H70" s="11">
        <v>20229.247199999998</v>
      </c>
    </row>
    <row r="71" spans="1:8" x14ac:dyDescent="0.35">
      <c r="A71" s="12">
        <v>44036</v>
      </c>
      <c r="B71" s="10">
        <v>49.536000000000001</v>
      </c>
      <c r="C71" s="11">
        <v>153.19999999999999</v>
      </c>
      <c r="D71" s="11">
        <v>7588.9151999999995</v>
      </c>
      <c r="E71" s="12">
        <v>44595</v>
      </c>
      <c r="F71" s="10">
        <v>49.536000000000001</v>
      </c>
      <c r="G71" s="11">
        <v>290.04000000000002</v>
      </c>
      <c r="H71" s="11">
        <v>14367.42144</v>
      </c>
    </row>
    <row r="72" spans="1:8" x14ac:dyDescent="0.35">
      <c r="A72" s="12">
        <v>44036</v>
      </c>
      <c r="B72" s="10">
        <v>141.44</v>
      </c>
      <c r="C72" s="11">
        <v>153.19999999999999</v>
      </c>
      <c r="D72" s="11">
        <v>21668.607999999997</v>
      </c>
      <c r="E72" s="12">
        <v>44596</v>
      </c>
      <c r="F72" s="10">
        <v>141.44</v>
      </c>
      <c r="G72" s="11">
        <v>279.45999999999998</v>
      </c>
      <c r="H72" s="11">
        <v>39526.822399999997</v>
      </c>
    </row>
    <row r="73" spans="1:8" x14ac:dyDescent="0.35">
      <c r="A73" s="12">
        <v>44036</v>
      </c>
      <c r="B73" s="10">
        <v>58.56</v>
      </c>
      <c r="C73" s="11">
        <v>153.19999999999999</v>
      </c>
      <c r="D73" s="11">
        <v>8971.391999999998</v>
      </c>
      <c r="E73" s="12">
        <v>44596</v>
      </c>
      <c r="F73" s="10">
        <v>58.56</v>
      </c>
      <c r="G73" s="11">
        <v>279.45</v>
      </c>
      <c r="H73" s="11">
        <v>16364.592000000001</v>
      </c>
    </row>
    <row r="74" spans="1:8" x14ac:dyDescent="0.35">
      <c r="A74" s="12">
        <v>44062</v>
      </c>
      <c r="B74" s="10">
        <v>285.91199999999998</v>
      </c>
      <c r="C74" s="11">
        <v>174.16</v>
      </c>
      <c r="D74" s="11">
        <v>49794.433920000003</v>
      </c>
      <c r="E74" s="12">
        <v>44596</v>
      </c>
      <c r="F74" s="10">
        <v>285.91199999999998</v>
      </c>
      <c r="G74" s="11">
        <v>279.45</v>
      </c>
      <c r="H74" s="11">
        <v>79898.108400000012</v>
      </c>
    </row>
    <row r="75" spans="1:8" x14ac:dyDescent="0.35">
      <c r="A75" s="12">
        <v>44062</v>
      </c>
      <c r="B75" s="10">
        <v>114.08799999999999</v>
      </c>
      <c r="C75" s="11">
        <v>174.15</v>
      </c>
      <c r="D75" s="11">
        <v>19868.425199999998</v>
      </c>
      <c r="E75" s="12">
        <v>44596</v>
      </c>
      <c r="F75" s="10">
        <v>114.08799999999999</v>
      </c>
      <c r="G75" s="11">
        <v>279.45</v>
      </c>
      <c r="H75" s="11">
        <v>31881.891600000003</v>
      </c>
    </row>
    <row r="76" spans="1:8" x14ac:dyDescent="0.35">
      <c r="A76" s="12">
        <v>44403</v>
      </c>
      <c r="B76" s="10">
        <v>1627.7719999999999</v>
      </c>
      <c r="C76" s="11">
        <v>207.9</v>
      </c>
      <c r="D76" s="11">
        <v>338413.79879999999</v>
      </c>
      <c r="E76" s="12">
        <v>45350</v>
      </c>
      <c r="F76" s="10">
        <v>1627.7719999999999</v>
      </c>
      <c r="G76" s="11">
        <v>165.87</v>
      </c>
      <c r="H76" s="11">
        <v>269998.54164000001</v>
      </c>
    </row>
    <row r="77" spans="1:8" x14ac:dyDescent="0.35">
      <c r="A77" s="12">
        <v>44403</v>
      </c>
      <c r="B77" s="10">
        <v>1204.6199999999999</v>
      </c>
      <c r="C77" s="11">
        <v>207.89000000000001</v>
      </c>
      <c r="D77" s="11">
        <v>250428.45180000001</v>
      </c>
      <c r="E77" s="12">
        <v>45377</v>
      </c>
      <c r="F77" s="10">
        <v>1204.6199999999999</v>
      </c>
      <c r="G77" s="11">
        <v>139.57</v>
      </c>
      <c r="H77" s="11">
        <v>168128.81340000001</v>
      </c>
    </row>
    <row r="78" spans="1:8" x14ac:dyDescent="0.35">
      <c r="A78" s="12">
        <v>44403</v>
      </c>
      <c r="B78" s="10">
        <v>2372.2280000000001</v>
      </c>
      <c r="C78" s="11">
        <v>207.9</v>
      </c>
      <c r="D78" s="11">
        <v>493186.20120000001</v>
      </c>
      <c r="E78" s="12">
        <v>45350</v>
      </c>
      <c r="F78" s="10">
        <v>2372.2280000000001</v>
      </c>
      <c r="G78" s="11">
        <v>165.86</v>
      </c>
      <c r="H78" s="11">
        <v>393457.73608</v>
      </c>
    </row>
    <row r="79" spans="1:8" x14ac:dyDescent="0.35">
      <c r="A79" s="12">
        <v>44403</v>
      </c>
      <c r="B79" s="10">
        <v>1039.3800000000001</v>
      </c>
      <c r="C79" s="11">
        <v>207.9</v>
      </c>
      <c r="D79" s="11">
        <v>216087.10200000001</v>
      </c>
      <c r="E79" s="12">
        <v>45377</v>
      </c>
      <c r="F79" s="10">
        <v>1039.3800000000001</v>
      </c>
      <c r="G79" s="11">
        <v>139.57</v>
      </c>
      <c r="H79" s="11">
        <v>145066.2666</v>
      </c>
    </row>
    <row r="80" spans="1:8" x14ac:dyDescent="0.35">
      <c r="A80" s="12">
        <v>44403</v>
      </c>
      <c r="B80" s="10">
        <v>1956</v>
      </c>
      <c r="C80" s="11">
        <v>207.89000000000001</v>
      </c>
      <c r="D80" s="11">
        <v>406632.84</v>
      </c>
      <c r="E80" s="12">
        <v>45377</v>
      </c>
      <c r="F80" s="10">
        <v>1956</v>
      </c>
      <c r="G80" s="11">
        <v>139.56</v>
      </c>
      <c r="H80" s="11">
        <v>272979.36</v>
      </c>
    </row>
    <row r="81" spans="1:8" x14ac:dyDescent="0.35">
      <c r="A81" s="12">
        <v>44805</v>
      </c>
      <c r="B81" s="10">
        <v>101.952</v>
      </c>
      <c r="C81" s="11">
        <v>251.54</v>
      </c>
      <c r="D81" s="11">
        <v>25645.006080000003</v>
      </c>
      <c r="E81" s="12">
        <v>45377</v>
      </c>
      <c r="F81" s="10">
        <v>101.952</v>
      </c>
      <c r="G81" s="11">
        <v>139.56</v>
      </c>
      <c r="H81" s="11">
        <v>14228.421120000001</v>
      </c>
    </row>
    <row r="82" spans="1:8" x14ac:dyDescent="0.35">
      <c r="A82" s="12">
        <v>44805</v>
      </c>
      <c r="B82" s="10">
        <v>98.048000000000002</v>
      </c>
      <c r="C82" s="11">
        <v>251.53</v>
      </c>
      <c r="D82" s="11">
        <v>24662.013440000002</v>
      </c>
      <c r="E82" s="12">
        <v>45377</v>
      </c>
      <c r="F82" s="10">
        <v>98.048000000000002</v>
      </c>
      <c r="G82" s="11">
        <v>139.56</v>
      </c>
      <c r="H82" s="11">
        <v>13683.578880000001</v>
      </c>
    </row>
    <row r="83" spans="1:8" x14ac:dyDescent="0.35">
      <c r="A83" s="12">
        <v>45300</v>
      </c>
      <c r="B83" s="10">
        <v>3169.0639999999999</v>
      </c>
      <c r="C83" s="11">
        <v>252.38</v>
      </c>
      <c r="D83" s="11">
        <v>799808.37232000008</v>
      </c>
      <c r="E83" s="12">
        <v>45378</v>
      </c>
      <c r="F83" s="10">
        <v>3169.0639999999999</v>
      </c>
      <c r="G83" s="11">
        <v>141.71</v>
      </c>
      <c r="H83" s="11">
        <v>449088.05943999998</v>
      </c>
    </row>
    <row r="84" spans="1:8" x14ac:dyDescent="0.35">
      <c r="A84" s="12">
        <v>45300</v>
      </c>
      <c r="B84" s="10">
        <v>1630.9359999999999</v>
      </c>
      <c r="C84" s="11">
        <v>252.37</v>
      </c>
      <c r="D84" s="11">
        <v>411599.31832000002</v>
      </c>
      <c r="E84" s="12">
        <v>45378</v>
      </c>
      <c r="F84" s="10">
        <v>1630.9359999999999</v>
      </c>
      <c r="G84" s="11">
        <v>141.71</v>
      </c>
      <c r="H84" s="11">
        <v>231119.94055999999</v>
      </c>
    </row>
    <row r="85" spans="1:8" x14ac:dyDescent="0.35">
      <c r="A85" s="12">
        <v>45314</v>
      </c>
      <c r="B85" s="10">
        <v>4335.84</v>
      </c>
      <c r="C85" s="11">
        <v>164.77</v>
      </c>
      <c r="D85" s="11">
        <v>714416.35680000007</v>
      </c>
      <c r="E85" s="12">
        <v>45378</v>
      </c>
      <c r="F85" s="10">
        <v>4335.84</v>
      </c>
      <c r="G85" s="11">
        <v>141.71</v>
      </c>
      <c r="H85" s="11">
        <v>614431.88639999996</v>
      </c>
    </row>
    <row r="86" spans="1:8" x14ac:dyDescent="0.35">
      <c r="A86" s="12">
        <v>45314</v>
      </c>
      <c r="B86" s="10">
        <v>54.828000000000003</v>
      </c>
      <c r="C86" s="11">
        <v>164.78</v>
      </c>
      <c r="D86" s="11">
        <v>9034.5578399999995</v>
      </c>
      <c r="E86" s="12">
        <v>45378</v>
      </c>
      <c r="F86" s="10">
        <v>54.828000000000003</v>
      </c>
      <c r="G86" s="11">
        <v>141.72</v>
      </c>
      <c r="H86" s="11">
        <v>7770.2241599999998</v>
      </c>
    </row>
    <row r="87" spans="1:8" ht="15.6" thickBot="1" x14ac:dyDescent="0.4">
      <c r="A87" s="12">
        <v>45314</v>
      </c>
      <c r="B87" s="10">
        <v>7609.3320000000003</v>
      </c>
      <c r="C87" s="11">
        <v>164.77</v>
      </c>
      <c r="D87" s="11">
        <v>1253789.6336400001</v>
      </c>
      <c r="E87" s="12">
        <v>45378</v>
      </c>
      <c r="F87" s="10">
        <v>7609.3320000000003</v>
      </c>
      <c r="G87" s="11">
        <v>141.72</v>
      </c>
      <c r="H87" s="11">
        <v>1078394.53104</v>
      </c>
    </row>
    <row r="88" spans="1:8" ht="15.6" thickBot="1" x14ac:dyDescent="0.4">
      <c r="A88" s="13"/>
      <c r="B88" s="14">
        <v>34400</v>
      </c>
      <c r="C88" s="15">
        <f>+D88/B88</f>
        <v>202.45117150697675</v>
      </c>
      <c r="D88" s="15">
        <v>6964320.2998400005</v>
      </c>
      <c r="E88" s="13"/>
      <c r="F88" s="14">
        <v>34400</v>
      </c>
      <c r="G88" s="15">
        <f>+H88/F88</f>
        <v>149.7034615651163</v>
      </c>
      <c r="H88" s="15">
        <v>5149799.0778400004</v>
      </c>
    </row>
    <row r="90" spans="1:8" x14ac:dyDescent="0.35">
      <c r="A90" s="12">
        <v>45446</v>
      </c>
      <c r="B90" s="10">
        <v>664.8</v>
      </c>
      <c r="C90" s="11">
        <v>154.21</v>
      </c>
      <c r="D90" s="11">
        <v>102518.808</v>
      </c>
    </row>
    <row r="91" spans="1:8" x14ac:dyDescent="0.35">
      <c r="A91" s="12">
        <v>45446</v>
      </c>
      <c r="B91" s="10">
        <v>245.2</v>
      </c>
      <c r="C91" s="11">
        <v>154.22</v>
      </c>
      <c r="D91" s="11">
        <v>37814.743999999999</v>
      </c>
    </row>
    <row r="92" spans="1:8" x14ac:dyDescent="0.35">
      <c r="A92" s="12">
        <v>45470</v>
      </c>
      <c r="B92" s="10">
        <v>6526.8</v>
      </c>
      <c r="C92" s="11">
        <v>151.06</v>
      </c>
      <c r="D92" s="11">
        <v>985938.40800000005</v>
      </c>
    </row>
    <row r="93" spans="1:8" x14ac:dyDescent="0.35">
      <c r="A93" s="12">
        <v>45470</v>
      </c>
      <c r="B93" s="10">
        <v>2293.1999999999998</v>
      </c>
      <c r="C93" s="11">
        <v>151.05000000000001</v>
      </c>
      <c r="D93" s="11">
        <v>346387.86</v>
      </c>
    </row>
    <row r="94" spans="1:8" x14ac:dyDescent="0.35">
      <c r="A94" s="12">
        <v>45719</v>
      </c>
      <c r="B94" s="10">
        <v>8141.2879999999996</v>
      </c>
      <c r="C94" s="11">
        <v>91.28</v>
      </c>
      <c r="D94" s="11">
        <v>743136.76864000002</v>
      </c>
    </row>
    <row r="95" spans="1:8" ht="15.6" thickBot="1" x14ac:dyDescent="0.4">
      <c r="A95" s="12">
        <v>45719</v>
      </c>
      <c r="B95" s="10">
        <v>1858.712</v>
      </c>
      <c r="C95" s="11">
        <v>91.27</v>
      </c>
      <c r="D95" s="11">
        <v>169644.64424000002</v>
      </c>
    </row>
    <row r="96" spans="1:8" ht="15.6" thickBot="1" x14ac:dyDescent="0.4">
      <c r="A96" s="13"/>
      <c r="B96" s="14">
        <v>19730</v>
      </c>
      <c r="C96" s="15">
        <f>+D96/B96</f>
        <v>120.90426927927015</v>
      </c>
      <c r="D96" s="15">
        <v>2385441.23288</v>
      </c>
      <c r="E96" s="13"/>
      <c r="F96" s="14"/>
      <c r="G96" s="15"/>
      <c r="H96" s="15"/>
    </row>
    <row r="98" spans="1:8" x14ac:dyDescent="0.35">
      <c r="A98" s="12">
        <v>43921</v>
      </c>
      <c r="B98" s="10">
        <v>3568.1039999999998</v>
      </c>
      <c r="C98" s="11">
        <v>127.31</v>
      </c>
      <c r="D98" s="11">
        <v>454255.32024000003</v>
      </c>
      <c r="E98" s="12">
        <v>45734</v>
      </c>
      <c r="F98" s="10">
        <v>3568.1039999999998</v>
      </c>
      <c r="G98" s="11">
        <v>102.06</v>
      </c>
      <c r="H98" s="11">
        <v>364160.69423999998</v>
      </c>
    </row>
    <row r="99" spans="1:8" x14ac:dyDescent="0.35">
      <c r="A99" s="12">
        <v>43921</v>
      </c>
      <c r="B99" s="10">
        <v>2028.92</v>
      </c>
      <c r="C99" s="11">
        <v>127.32000000000001</v>
      </c>
      <c r="D99" s="11">
        <v>258322.0944</v>
      </c>
      <c r="E99" s="12">
        <v>45734</v>
      </c>
      <c r="F99" s="10">
        <v>2028.92</v>
      </c>
      <c r="G99" s="11">
        <v>102.06</v>
      </c>
      <c r="H99" s="11">
        <v>207071.57520000002</v>
      </c>
    </row>
    <row r="100" spans="1:8" x14ac:dyDescent="0.35">
      <c r="A100" s="12">
        <v>44789</v>
      </c>
      <c r="B100" s="10">
        <v>1.548</v>
      </c>
      <c r="C100" s="11">
        <v>239.58</v>
      </c>
      <c r="D100" s="11">
        <v>370.86984000000001</v>
      </c>
      <c r="E100" s="12">
        <v>45734</v>
      </c>
      <c r="F100" s="10">
        <v>1.548</v>
      </c>
      <c r="G100" s="11">
        <v>102.06</v>
      </c>
      <c r="H100" s="11">
        <v>157.98887999999999</v>
      </c>
    </row>
    <row r="101" spans="1:8" x14ac:dyDescent="0.35">
      <c r="A101" s="12">
        <v>44789</v>
      </c>
      <c r="B101" s="10">
        <v>1.4279999999999999</v>
      </c>
      <c r="C101" s="11">
        <v>239.57</v>
      </c>
      <c r="D101" s="11">
        <v>342.10596000000004</v>
      </c>
      <c r="E101" s="12">
        <v>45734</v>
      </c>
      <c r="F101" s="10">
        <v>1.4279999999999999</v>
      </c>
      <c r="G101" s="11">
        <v>102.06</v>
      </c>
      <c r="H101" s="11">
        <v>145.74168</v>
      </c>
    </row>
    <row r="102" spans="1:8" x14ac:dyDescent="0.35">
      <c r="A102" s="12">
        <v>45378</v>
      </c>
      <c r="B102" s="10">
        <v>1476.308</v>
      </c>
      <c r="C102" s="11">
        <v>141.69</v>
      </c>
      <c r="D102" s="11">
        <v>209178.08052000002</v>
      </c>
      <c r="E102" s="12">
        <v>45734</v>
      </c>
      <c r="F102" s="10">
        <v>1476.308</v>
      </c>
      <c r="G102" s="11">
        <v>102.06</v>
      </c>
      <c r="H102" s="11">
        <v>150671.99447999999</v>
      </c>
    </row>
    <row r="103" spans="1:8" ht="15.6" thickBot="1" x14ac:dyDescent="0.4">
      <c r="A103" s="12">
        <v>45378</v>
      </c>
      <c r="B103" s="10">
        <v>1823.692</v>
      </c>
      <c r="C103" s="11">
        <v>141.69</v>
      </c>
      <c r="D103" s="11">
        <v>258398.91948000001</v>
      </c>
      <c r="E103" s="12">
        <v>45734</v>
      </c>
      <c r="F103" s="10">
        <v>1823.692</v>
      </c>
      <c r="G103" s="11">
        <v>102.05</v>
      </c>
      <c r="H103" s="11">
        <v>186107.76859999998</v>
      </c>
    </row>
    <row r="104" spans="1:8" ht="15.6" thickBot="1" x14ac:dyDescent="0.4">
      <c r="A104" s="13"/>
      <c r="B104" s="14">
        <v>8900</v>
      </c>
      <c r="C104" s="15">
        <f>+D104/B104</f>
        <v>132.68172926292135</v>
      </c>
      <c r="D104" s="15">
        <v>1180867.39044</v>
      </c>
      <c r="E104" s="13"/>
      <c r="F104" s="14">
        <v>8900</v>
      </c>
      <c r="G104" s="15">
        <f>+H104/F104</f>
        <v>102.05795090786518</v>
      </c>
      <c r="H104" s="15">
        <v>908315.76308000006</v>
      </c>
    </row>
    <row r="106" spans="1:8" x14ac:dyDescent="0.35">
      <c r="A106" s="12">
        <v>45378</v>
      </c>
      <c r="B106" s="10">
        <v>6238.32</v>
      </c>
      <c r="C106" s="11">
        <v>141.68</v>
      </c>
      <c r="D106" s="11">
        <v>883845.17760000005</v>
      </c>
    </row>
    <row r="107" spans="1:8" ht="15.6" thickBot="1" x14ac:dyDescent="0.4">
      <c r="A107" s="12">
        <v>45378</v>
      </c>
      <c r="B107" s="10">
        <v>4061.68</v>
      </c>
      <c r="C107" s="11">
        <v>141.69</v>
      </c>
      <c r="D107" s="11">
        <v>575499.43920000002</v>
      </c>
    </row>
    <row r="108" spans="1:8" ht="15.6" thickBot="1" x14ac:dyDescent="0.4">
      <c r="A108" s="13"/>
      <c r="B108" s="14">
        <v>10300</v>
      </c>
      <c r="C108" s="15">
        <f>+D108/B108</f>
        <v>141.68394337864081</v>
      </c>
      <c r="D108" s="15">
        <v>1459344.6168000002</v>
      </c>
      <c r="E108" s="13"/>
      <c r="F108" s="14"/>
      <c r="G108" s="15"/>
      <c r="H108" s="15"/>
    </row>
    <row r="110" spans="1:8" x14ac:dyDescent="0.35">
      <c r="A110" s="12">
        <v>45377</v>
      </c>
      <c r="B110" s="10">
        <v>2233</v>
      </c>
      <c r="C110" s="11">
        <v>139.63</v>
      </c>
      <c r="D110" s="11">
        <v>311793.78999999998</v>
      </c>
      <c r="E110" s="12">
        <v>45741</v>
      </c>
      <c r="F110" s="10">
        <v>2233</v>
      </c>
      <c r="G110" s="11">
        <v>102.85000000000001</v>
      </c>
      <c r="H110" s="11">
        <v>229664.05</v>
      </c>
    </row>
    <row r="111" spans="1:8" x14ac:dyDescent="0.35">
      <c r="A111" s="12">
        <v>45377</v>
      </c>
      <c r="B111" s="10">
        <v>568</v>
      </c>
      <c r="C111" s="11">
        <v>139.63999999999999</v>
      </c>
      <c r="D111" s="11">
        <v>79315.51999999999</v>
      </c>
      <c r="E111" s="12">
        <v>45741</v>
      </c>
      <c r="F111" s="10">
        <v>568</v>
      </c>
      <c r="G111" s="11">
        <v>102.84</v>
      </c>
      <c r="H111" s="11">
        <v>58413.120000000003</v>
      </c>
    </row>
    <row r="112" spans="1:8" ht="15.6" thickBot="1" x14ac:dyDescent="0.4">
      <c r="A112" s="12">
        <v>45377</v>
      </c>
      <c r="B112" s="10">
        <v>99</v>
      </c>
      <c r="C112" s="11">
        <v>139.63</v>
      </c>
      <c r="D112" s="11">
        <v>13823.37</v>
      </c>
      <c r="E112" s="12">
        <v>45741</v>
      </c>
      <c r="F112" s="10">
        <v>99</v>
      </c>
      <c r="G112" s="11">
        <v>102.84</v>
      </c>
      <c r="H112" s="11">
        <v>10181.16</v>
      </c>
    </row>
    <row r="113" spans="1:8" ht="15.6" thickBot="1" x14ac:dyDescent="0.4">
      <c r="A113" s="13"/>
      <c r="B113" s="14">
        <v>2900</v>
      </c>
      <c r="C113" s="15">
        <f>+D113/B113</f>
        <v>139.63195862068966</v>
      </c>
      <c r="D113" s="14">
        <v>404932.68</v>
      </c>
      <c r="E113" s="13"/>
      <c r="F113" s="14">
        <v>2900</v>
      </c>
      <c r="G113" s="15"/>
      <c r="H113" s="14">
        <v>298258.33</v>
      </c>
    </row>
    <row r="115" spans="1:8" x14ac:dyDescent="0.35">
      <c r="A115" s="12">
        <v>45377</v>
      </c>
      <c r="B115" s="10">
        <v>6340.12</v>
      </c>
      <c r="C115" s="11">
        <v>140.49</v>
      </c>
      <c r="D115" s="11">
        <v>890723.45880000002</v>
      </c>
    </row>
    <row r="116" spans="1:8" x14ac:dyDescent="0.35">
      <c r="A116" s="12">
        <v>45377</v>
      </c>
      <c r="B116" s="10">
        <v>6059.88</v>
      </c>
      <c r="C116" s="11">
        <v>140.47999999999999</v>
      </c>
      <c r="D116" s="11">
        <v>851291.94239999983</v>
      </c>
    </row>
    <row r="117" spans="1:8" x14ac:dyDescent="0.35">
      <c r="A117" s="12">
        <v>45377</v>
      </c>
      <c r="B117" s="10">
        <v>1500</v>
      </c>
      <c r="C117" s="11">
        <v>139.63999999999999</v>
      </c>
      <c r="D117" s="11">
        <v>209459.99999999997</v>
      </c>
    </row>
    <row r="118" spans="1:8" x14ac:dyDescent="0.35">
      <c r="A118" s="12">
        <v>45378</v>
      </c>
      <c r="B118" s="10">
        <v>7664.16</v>
      </c>
      <c r="C118" s="11">
        <v>141.78</v>
      </c>
      <c r="D118" s="11">
        <v>1086624.6047999999</v>
      </c>
    </row>
    <row r="119" spans="1:8" ht="15.6" thickBot="1" x14ac:dyDescent="0.4">
      <c r="A119" s="12">
        <v>45378</v>
      </c>
      <c r="B119" s="10">
        <v>9135.84</v>
      </c>
      <c r="C119" s="11">
        <v>141.79</v>
      </c>
      <c r="D119" s="11">
        <v>1295370.7536000002</v>
      </c>
    </row>
    <row r="120" spans="1:8" ht="15.6" thickBot="1" x14ac:dyDescent="0.4">
      <c r="A120" s="13"/>
      <c r="B120" s="14">
        <v>30700</v>
      </c>
      <c r="C120" s="15">
        <f>+D120/B120</f>
        <v>141.15539933550491</v>
      </c>
      <c r="D120" s="14">
        <v>4333470.7596000005</v>
      </c>
      <c r="E120" s="13"/>
      <c r="F120" s="14"/>
      <c r="G120" s="15"/>
      <c r="H120" s="14"/>
    </row>
    <row r="121" spans="1:8" x14ac:dyDescent="0.35">
      <c r="B121" s="2">
        <v>0</v>
      </c>
    </row>
    <row r="122" spans="1:8" x14ac:dyDescent="0.35">
      <c r="A122" s="12">
        <v>44691</v>
      </c>
      <c r="B122" s="10">
        <v>493.61200000000002</v>
      </c>
      <c r="C122" s="10">
        <v>236.81</v>
      </c>
      <c r="D122" s="10">
        <v>116892.25771999999</v>
      </c>
      <c r="E122" s="12">
        <v>45378</v>
      </c>
      <c r="F122" s="10">
        <v>493.61200000000002</v>
      </c>
      <c r="G122" s="11">
        <v>141.61000000000001</v>
      </c>
      <c r="H122" s="11">
        <v>69900.395320000011</v>
      </c>
    </row>
    <row r="123" spans="1:8" x14ac:dyDescent="0.35">
      <c r="A123" s="12">
        <v>44691</v>
      </c>
      <c r="B123" s="10">
        <v>306.38799999999998</v>
      </c>
      <c r="C123" s="10">
        <v>236.82</v>
      </c>
      <c r="D123" s="10">
        <v>72558.806159999993</v>
      </c>
      <c r="E123" s="12">
        <v>45378</v>
      </c>
      <c r="F123" s="10">
        <v>306.38799999999998</v>
      </c>
      <c r="G123" s="11">
        <v>141.61000000000001</v>
      </c>
      <c r="H123" s="11">
        <v>43387.604679999997</v>
      </c>
    </row>
    <row r="124" spans="1:8" x14ac:dyDescent="0.35">
      <c r="A124" s="12">
        <v>44771</v>
      </c>
      <c r="B124" s="10">
        <v>645.12400000000002</v>
      </c>
      <c r="C124" s="10">
        <v>247.05</v>
      </c>
      <c r="D124" s="10">
        <v>159377.88420000003</v>
      </c>
      <c r="E124" s="12">
        <v>45378</v>
      </c>
      <c r="F124" s="10">
        <v>645.12400000000002</v>
      </c>
      <c r="G124" s="11">
        <v>141.61000000000001</v>
      </c>
      <c r="H124" s="11">
        <v>91356.009640000004</v>
      </c>
    </row>
    <row r="125" spans="1:8" x14ac:dyDescent="0.35">
      <c r="A125" s="12">
        <v>44771</v>
      </c>
      <c r="B125" s="10">
        <v>554.87599999999998</v>
      </c>
      <c r="C125" s="10">
        <v>247.06</v>
      </c>
      <c r="D125" s="10">
        <v>137087.66456</v>
      </c>
      <c r="E125" s="12">
        <v>45378</v>
      </c>
      <c r="F125" s="10">
        <v>554.87599999999998</v>
      </c>
      <c r="G125" s="11">
        <v>141.61000000000001</v>
      </c>
      <c r="H125" s="11">
        <v>78575.990359999996</v>
      </c>
    </row>
    <row r="126" spans="1:8" x14ac:dyDescent="0.35">
      <c r="A126" s="12">
        <v>44774</v>
      </c>
      <c r="B126" s="10">
        <v>2597.8919999999998</v>
      </c>
      <c r="C126" s="10">
        <v>254.5</v>
      </c>
      <c r="D126" s="10">
        <v>661163.51399999997</v>
      </c>
      <c r="E126" s="12">
        <v>45378</v>
      </c>
      <c r="F126" s="10">
        <v>2597.8919999999998</v>
      </c>
      <c r="G126" s="11">
        <v>141.61000000000001</v>
      </c>
      <c r="H126" s="11">
        <v>367887.48612000002</v>
      </c>
    </row>
    <row r="127" spans="1:8" x14ac:dyDescent="0.35">
      <c r="A127" s="12">
        <v>44774</v>
      </c>
      <c r="B127" s="10">
        <v>202.108</v>
      </c>
      <c r="C127" s="10">
        <v>254.49</v>
      </c>
      <c r="D127" s="10">
        <v>51434.464919999999</v>
      </c>
      <c r="E127" s="12">
        <v>45378</v>
      </c>
      <c r="F127" s="10">
        <v>202.108</v>
      </c>
      <c r="G127" s="11">
        <v>141.61000000000001</v>
      </c>
      <c r="H127" s="11">
        <v>28620.513879999999</v>
      </c>
    </row>
    <row r="128" spans="1:8" x14ac:dyDescent="0.35">
      <c r="A128" s="12">
        <v>44984</v>
      </c>
      <c r="B128" s="10">
        <v>947.48</v>
      </c>
      <c r="C128" s="10">
        <v>186.39000000000001</v>
      </c>
      <c r="D128" s="10">
        <v>176600.79720000003</v>
      </c>
      <c r="E128" s="12">
        <v>45378</v>
      </c>
      <c r="F128" s="10">
        <v>947.48</v>
      </c>
      <c r="G128" s="11">
        <v>141.61000000000001</v>
      </c>
      <c r="H128" s="11">
        <v>134172.6428</v>
      </c>
    </row>
    <row r="129" spans="1:8" x14ac:dyDescent="0.35">
      <c r="A129" s="12">
        <v>44984</v>
      </c>
      <c r="B129" s="10">
        <v>252.52</v>
      </c>
      <c r="C129" s="10">
        <v>186.38</v>
      </c>
      <c r="D129" s="10">
        <v>47064.677600000003</v>
      </c>
      <c r="E129" s="12">
        <v>45378</v>
      </c>
      <c r="F129" s="10">
        <v>252.52</v>
      </c>
      <c r="G129" s="11">
        <v>141.61000000000001</v>
      </c>
      <c r="H129" s="11">
        <v>35759.357200000006</v>
      </c>
    </row>
    <row r="130" spans="1:8" x14ac:dyDescent="0.35">
      <c r="A130" s="12">
        <v>45072</v>
      </c>
      <c r="B130" s="10">
        <v>1361.68</v>
      </c>
      <c r="C130" s="11">
        <v>189.72</v>
      </c>
      <c r="D130" s="11">
        <v>258337.9296</v>
      </c>
      <c r="E130" s="12">
        <v>45378</v>
      </c>
      <c r="F130" s="10">
        <v>1361.68</v>
      </c>
      <c r="G130" s="11">
        <v>141.61000000000001</v>
      </c>
      <c r="H130" s="11">
        <v>192827.50480000002</v>
      </c>
    </row>
    <row r="131" spans="1:8" x14ac:dyDescent="0.35">
      <c r="A131" s="12">
        <v>45072</v>
      </c>
      <c r="B131" s="10">
        <v>880.71600000000001</v>
      </c>
      <c r="C131" s="11">
        <v>189.71</v>
      </c>
      <c r="D131" s="11">
        <v>167080.63236000002</v>
      </c>
      <c r="E131" s="12">
        <v>45378</v>
      </c>
      <c r="F131" s="10">
        <v>880.71600000000001</v>
      </c>
      <c r="G131" s="11">
        <v>141.62</v>
      </c>
      <c r="H131" s="11">
        <v>124726.99992</v>
      </c>
    </row>
    <row r="132" spans="1:8" x14ac:dyDescent="0.35">
      <c r="A132" s="12">
        <v>45090</v>
      </c>
      <c r="B132" s="10">
        <v>1032</v>
      </c>
      <c r="C132" s="11">
        <v>187.15</v>
      </c>
      <c r="D132" s="11">
        <v>193138.8</v>
      </c>
      <c r="E132" s="12">
        <v>45378</v>
      </c>
      <c r="F132" s="10">
        <v>1032</v>
      </c>
      <c r="G132" s="11">
        <v>141.62</v>
      </c>
      <c r="H132" s="11">
        <v>146151.84</v>
      </c>
    </row>
    <row r="133" spans="1:8" x14ac:dyDescent="0.35">
      <c r="A133" s="12">
        <v>45090</v>
      </c>
      <c r="B133" s="10">
        <v>168</v>
      </c>
      <c r="C133" s="11">
        <v>187.14000000000001</v>
      </c>
      <c r="D133" s="11">
        <v>31439.52</v>
      </c>
      <c r="E133" s="12">
        <v>45378</v>
      </c>
      <c r="F133" s="10">
        <v>168</v>
      </c>
      <c r="G133" s="11">
        <v>141.62</v>
      </c>
      <c r="H133" s="11">
        <v>23792.16</v>
      </c>
    </row>
    <row r="134" spans="1:8" x14ac:dyDescent="0.35">
      <c r="A134" s="12">
        <v>45097</v>
      </c>
      <c r="B134" s="10">
        <v>556.24</v>
      </c>
      <c r="C134" s="11">
        <v>175.4</v>
      </c>
      <c r="D134" s="11">
        <v>97564.495999999999</v>
      </c>
      <c r="E134" s="12">
        <v>45378</v>
      </c>
      <c r="F134" s="10">
        <v>556.24</v>
      </c>
      <c r="G134" s="11">
        <v>141.62</v>
      </c>
      <c r="H134" s="11">
        <v>78774.708799999993</v>
      </c>
    </row>
    <row r="135" spans="1:8" x14ac:dyDescent="0.35">
      <c r="A135" s="12">
        <v>45097</v>
      </c>
      <c r="B135" s="10">
        <v>643.76</v>
      </c>
      <c r="C135" s="11">
        <v>175.39000000000001</v>
      </c>
      <c r="D135" s="11">
        <v>112909.06640000001</v>
      </c>
      <c r="E135" s="12">
        <v>45378</v>
      </c>
      <c r="F135" s="10">
        <v>643.76</v>
      </c>
      <c r="G135" s="11">
        <v>141.62</v>
      </c>
      <c r="H135" s="11">
        <v>91169.291200000007</v>
      </c>
    </row>
    <row r="136" spans="1:8" x14ac:dyDescent="0.35">
      <c r="A136" s="12">
        <v>45112</v>
      </c>
      <c r="B136" s="10">
        <v>966.4</v>
      </c>
      <c r="C136" s="11">
        <v>184.70000000000002</v>
      </c>
      <c r="D136" s="11">
        <v>178494.07999999999</v>
      </c>
      <c r="E136" s="12">
        <v>45378</v>
      </c>
      <c r="F136" s="10">
        <v>966.4</v>
      </c>
      <c r="G136" s="11">
        <v>141.62</v>
      </c>
      <c r="H136" s="11">
        <v>136861.568</v>
      </c>
    </row>
    <row r="137" spans="1:8" x14ac:dyDescent="0.35">
      <c r="A137" s="12">
        <v>45112</v>
      </c>
      <c r="B137" s="10">
        <v>233.6</v>
      </c>
      <c r="C137" s="11">
        <v>184.69</v>
      </c>
      <c r="D137" s="11">
        <v>43143.584000000003</v>
      </c>
      <c r="E137" s="12">
        <v>45378</v>
      </c>
      <c r="F137" s="10">
        <v>233.6</v>
      </c>
      <c r="G137" s="11">
        <v>141.62</v>
      </c>
      <c r="H137" s="11">
        <v>33082.432000000001</v>
      </c>
    </row>
    <row r="138" spans="1:8" x14ac:dyDescent="0.35">
      <c r="A138" s="12">
        <v>45252</v>
      </c>
      <c r="B138" s="10">
        <v>1011.596</v>
      </c>
      <c r="C138" s="11">
        <v>254.47</v>
      </c>
      <c r="D138" s="11">
        <v>257420.83412000001</v>
      </c>
      <c r="E138" s="12">
        <v>45378</v>
      </c>
      <c r="F138" s="10">
        <v>1011.596</v>
      </c>
      <c r="G138" s="11">
        <v>141.62</v>
      </c>
      <c r="H138" s="11">
        <v>143262.22552000001</v>
      </c>
    </row>
    <row r="139" spans="1:8" x14ac:dyDescent="0.35">
      <c r="A139" s="12">
        <v>45252</v>
      </c>
      <c r="B139" s="10">
        <v>588.404</v>
      </c>
      <c r="C139" s="11">
        <v>254.48000000000002</v>
      </c>
      <c r="D139" s="11">
        <v>149737.04992000002</v>
      </c>
      <c r="E139" s="12">
        <v>45378</v>
      </c>
      <c r="F139" s="10">
        <v>588.404</v>
      </c>
      <c r="G139" s="11">
        <v>141.62</v>
      </c>
      <c r="H139" s="11">
        <v>83329.774480000007</v>
      </c>
    </row>
    <row r="140" spans="1:8" x14ac:dyDescent="0.35">
      <c r="A140" s="12">
        <v>45072</v>
      </c>
      <c r="B140" s="10">
        <v>157.60400000000001</v>
      </c>
      <c r="C140" s="11">
        <v>189.72</v>
      </c>
      <c r="D140" s="11">
        <v>29900.630880000001</v>
      </c>
      <c r="E140" s="12">
        <v>45378</v>
      </c>
      <c r="F140" s="10">
        <v>157.60400000000001</v>
      </c>
      <c r="G140" s="11">
        <v>141.62</v>
      </c>
      <c r="H140" s="11">
        <v>22319.878479999999</v>
      </c>
    </row>
    <row r="141" spans="1:8" x14ac:dyDescent="0.35">
      <c r="A141" s="19"/>
      <c r="B141" s="20">
        <v>13600</v>
      </c>
      <c r="C141" s="21"/>
      <c r="D141" s="20">
        <v>2941346.6896400005</v>
      </c>
      <c r="E141" s="19"/>
      <c r="F141" s="20">
        <v>13600</v>
      </c>
      <c r="G141" s="21"/>
      <c r="H141" s="20">
        <v>1925958.3832</v>
      </c>
    </row>
    <row r="143" spans="1:8" x14ac:dyDescent="0.35">
      <c r="A143" s="12">
        <v>43732</v>
      </c>
      <c r="B143" s="10">
        <v>123.7</v>
      </c>
      <c r="C143" s="22">
        <v>273.22000000000003</v>
      </c>
      <c r="D143" s="22">
        <v>33797.313999999998</v>
      </c>
      <c r="E143" s="12">
        <v>43913</v>
      </c>
      <c r="F143" s="10">
        <v>123.7</v>
      </c>
      <c r="G143" s="22">
        <v>132.41999999999999</v>
      </c>
      <c r="H143" s="22">
        <v>16380.353999999998</v>
      </c>
    </row>
    <row r="144" spans="1:8" x14ac:dyDescent="0.35">
      <c r="A144" s="12">
        <v>43732</v>
      </c>
      <c r="B144" s="10">
        <v>76.3</v>
      </c>
      <c r="C144" s="22">
        <v>273.20999999999998</v>
      </c>
      <c r="D144" s="22">
        <v>20845.922999999995</v>
      </c>
      <c r="E144" s="12">
        <v>43913</v>
      </c>
      <c r="F144" s="10">
        <v>76.3</v>
      </c>
      <c r="G144" s="22">
        <v>132.41999999999999</v>
      </c>
      <c r="H144" s="22">
        <v>10103.645999999999</v>
      </c>
    </row>
    <row r="145" spans="1:8" x14ac:dyDescent="0.35">
      <c r="A145" s="12">
        <v>43860</v>
      </c>
      <c r="B145" s="10">
        <v>1561.424</v>
      </c>
      <c r="C145" s="22">
        <v>267.93</v>
      </c>
      <c r="D145" s="22">
        <v>418352.33231999999</v>
      </c>
      <c r="E145" s="12">
        <v>43913</v>
      </c>
      <c r="F145" s="10">
        <v>1561.424</v>
      </c>
      <c r="G145" s="22">
        <v>132.41999999999999</v>
      </c>
      <c r="H145" s="22">
        <v>206763.76607999994</v>
      </c>
    </row>
    <row r="146" spans="1:8" x14ac:dyDescent="0.35">
      <c r="A146" s="12">
        <v>43860</v>
      </c>
      <c r="B146" s="10">
        <v>638.57600000000002</v>
      </c>
      <c r="C146" s="22">
        <v>267.93</v>
      </c>
      <c r="D146" s="22">
        <v>171093.66768000001</v>
      </c>
      <c r="E146" s="12">
        <v>43913</v>
      </c>
      <c r="F146" s="10">
        <v>638.57600000000002</v>
      </c>
      <c r="G146" s="22">
        <v>132.43</v>
      </c>
      <c r="H146" s="22">
        <v>84566.619680000003</v>
      </c>
    </row>
    <row r="147" spans="1:8" x14ac:dyDescent="0.35">
      <c r="A147" s="12">
        <v>43860</v>
      </c>
      <c r="B147" s="10">
        <v>5258.1679999999997</v>
      </c>
      <c r="C147" s="22">
        <v>123.95</v>
      </c>
      <c r="D147" s="22">
        <v>651749.92359999998</v>
      </c>
      <c r="E147" s="12">
        <v>44011</v>
      </c>
      <c r="F147" s="10">
        <v>5258.1679999999997</v>
      </c>
      <c r="G147" s="22">
        <v>171.15</v>
      </c>
      <c r="H147" s="22">
        <v>899935.45320000011</v>
      </c>
    </row>
    <row r="148" spans="1:8" x14ac:dyDescent="0.35">
      <c r="A148" s="12">
        <v>43860</v>
      </c>
      <c r="B148" s="10">
        <v>1313.8320000000001</v>
      </c>
      <c r="C148" s="22">
        <v>123.95</v>
      </c>
      <c r="D148" s="22">
        <v>162849.47640000001</v>
      </c>
      <c r="E148" s="12">
        <v>44011</v>
      </c>
      <c r="F148" s="10">
        <v>1313.8320000000001</v>
      </c>
      <c r="G148" s="22">
        <v>171.15</v>
      </c>
      <c r="H148" s="22">
        <v>224862.3468</v>
      </c>
    </row>
    <row r="149" spans="1:8" x14ac:dyDescent="0.35">
      <c r="A149" s="12">
        <v>43860</v>
      </c>
      <c r="B149" s="10">
        <v>4028</v>
      </c>
      <c r="C149" s="22">
        <v>123.95</v>
      </c>
      <c r="D149" s="22">
        <v>499270.6</v>
      </c>
      <c r="E149" s="12">
        <v>44011</v>
      </c>
      <c r="F149" s="10">
        <v>4028</v>
      </c>
      <c r="G149" s="22">
        <v>171.14000000000001</v>
      </c>
      <c r="H149" s="22">
        <v>689351.92</v>
      </c>
    </row>
    <row r="150" spans="1:8" x14ac:dyDescent="0.35">
      <c r="A150" s="12">
        <v>43860</v>
      </c>
      <c r="B150" s="10">
        <v>24.8</v>
      </c>
      <c r="C150" s="22">
        <v>123.95</v>
      </c>
      <c r="D150" s="22">
        <v>3073.96</v>
      </c>
      <c r="E150" s="12">
        <v>44061</v>
      </c>
      <c r="F150" s="10">
        <v>24.8</v>
      </c>
      <c r="G150" s="22">
        <v>173.9</v>
      </c>
      <c r="H150" s="22">
        <v>4312.72</v>
      </c>
    </row>
    <row r="151" spans="1:8" x14ac:dyDescent="0.35">
      <c r="A151" s="12">
        <v>44042</v>
      </c>
      <c r="B151" s="10">
        <v>6.1760000000000002</v>
      </c>
      <c r="C151" s="22">
        <v>143.76</v>
      </c>
      <c r="D151" s="22">
        <v>887.86176</v>
      </c>
      <c r="E151" s="12">
        <v>44061</v>
      </c>
      <c r="F151" s="10">
        <v>6.1760000000000002</v>
      </c>
      <c r="G151" s="22">
        <v>173.9</v>
      </c>
      <c r="H151" s="22">
        <v>1074.0064</v>
      </c>
    </row>
    <row r="152" spans="1:8" x14ac:dyDescent="0.35">
      <c r="A152" s="12">
        <v>44042</v>
      </c>
      <c r="B152" s="10">
        <v>109.42400000000001</v>
      </c>
      <c r="C152" s="22">
        <v>140.28</v>
      </c>
      <c r="D152" s="22">
        <v>15349.998720000001</v>
      </c>
      <c r="E152" s="12">
        <v>44061</v>
      </c>
      <c r="F152" s="10">
        <v>109.42400000000001</v>
      </c>
      <c r="G152" s="22">
        <v>173.9</v>
      </c>
      <c r="H152" s="22">
        <v>19028.833600000002</v>
      </c>
    </row>
    <row r="153" spans="1:8" x14ac:dyDescent="0.35">
      <c r="A153" s="12">
        <v>44042</v>
      </c>
      <c r="B153" s="10">
        <v>119.6</v>
      </c>
      <c r="C153" s="22">
        <v>140.28</v>
      </c>
      <c r="D153" s="22">
        <v>16777.488000000001</v>
      </c>
      <c r="E153" s="12">
        <v>44061</v>
      </c>
      <c r="F153" s="10">
        <v>119.6</v>
      </c>
      <c r="G153" s="22">
        <v>173.89000000000001</v>
      </c>
      <c r="H153" s="22">
        <v>20797.243999999999</v>
      </c>
    </row>
    <row r="154" spans="1:8" x14ac:dyDescent="0.35">
      <c r="A154" s="12">
        <v>44042</v>
      </c>
      <c r="B154" s="10">
        <v>3.66</v>
      </c>
      <c r="C154" s="22">
        <v>140.28</v>
      </c>
      <c r="D154" s="22">
        <v>513.4248</v>
      </c>
      <c r="E154" s="12">
        <v>44064</v>
      </c>
      <c r="F154" s="10">
        <v>3.66</v>
      </c>
      <c r="G154" s="22">
        <v>207</v>
      </c>
      <c r="H154" s="22">
        <v>757.62</v>
      </c>
    </row>
    <row r="155" spans="1:8" x14ac:dyDescent="0.35">
      <c r="A155" s="12">
        <v>44042</v>
      </c>
      <c r="B155" s="10">
        <v>375.72</v>
      </c>
      <c r="C155" s="22">
        <v>140.29</v>
      </c>
      <c r="D155" s="22">
        <v>52709.758800000003</v>
      </c>
      <c r="E155" s="12">
        <v>44403</v>
      </c>
      <c r="F155" s="10">
        <v>375.72</v>
      </c>
      <c r="G155" s="22">
        <v>207.45000000000002</v>
      </c>
      <c r="H155" s="22">
        <v>77943.114000000001</v>
      </c>
    </row>
    <row r="156" spans="1:8" x14ac:dyDescent="0.35">
      <c r="A156" s="12">
        <v>44042</v>
      </c>
      <c r="B156" s="10">
        <v>603.596</v>
      </c>
      <c r="C156" s="22">
        <v>140.28</v>
      </c>
      <c r="D156" s="22">
        <v>84672.446879999989</v>
      </c>
      <c r="E156" s="12">
        <v>44403</v>
      </c>
      <c r="F156" s="10">
        <v>603.596</v>
      </c>
      <c r="G156" s="22">
        <v>207.45000000000002</v>
      </c>
      <c r="H156" s="22">
        <v>125215.9902</v>
      </c>
    </row>
    <row r="157" spans="1:8" x14ac:dyDescent="0.35">
      <c r="A157" s="12">
        <v>44062</v>
      </c>
      <c r="B157" s="10">
        <v>552.67200000000003</v>
      </c>
      <c r="C157" s="22">
        <v>171.62</v>
      </c>
      <c r="D157" s="22">
        <v>94849.568639999998</v>
      </c>
      <c r="E157" s="12">
        <v>44403</v>
      </c>
      <c r="F157" s="10">
        <v>552.67200000000003</v>
      </c>
      <c r="G157" s="22">
        <v>207.45000000000002</v>
      </c>
      <c r="H157" s="22">
        <v>114651.8064</v>
      </c>
    </row>
    <row r="158" spans="1:8" x14ac:dyDescent="0.35">
      <c r="A158" s="12">
        <v>44062</v>
      </c>
      <c r="B158" s="10">
        <v>47.328000000000003</v>
      </c>
      <c r="C158" s="22">
        <v>171.63</v>
      </c>
      <c r="D158" s="22">
        <v>8122.9046400000007</v>
      </c>
      <c r="E158" s="12">
        <v>44403</v>
      </c>
      <c r="F158" s="10">
        <v>47.328000000000003</v>
      </c>
      <c r="G158" s="22">
        <v>207.45000000000002</v>
      </c>
      <c r="H158" s="22">
        <v>9818.1936000000005</v>
      </c>
    </row>
    <row r="159" spans="1:8" x14ac:dyDescent="0.35">
      <c r="A159" s="12">
        <v>44371</v>
      </c>
      <c r="B159" s="10">
        <v>2808.1840000000002</v>
      </c>
      <c r="C159" s="22">
        <v>214.82</v>
      </c>
      <c r="D159" s="22">
        <v>603254.08687999996</v>
      </c>
      <c r="E159" s="12">
        <v>44403</v>
      </c>
      <c r="F159" s="10">
        <v>2808.1840000000002</v>
      </c>
      <c r="G159" s="22">
        <v>207.45000000000002</v>
      </c>
      <c r="H159" s="22">
        <v>582557.77080000006</v>
      </c>
    </row>
    <row r="160" spans="1:8" x14ac:dyDescent="0.35">
      <c r="A160" s="12">
        <v>44371</v>
      </c>
      <c r="B160" s="10">
        <v>854.76400000000001</v>
      </c>
      <c r="C160" s="22">
        <v>214.81</v>
      </c>
      <c r="D160" s="22">
        <v>183611.85484000001</v>
      </c>
      <c r="E160" s="12">
        <v>44403</v>
      </c>
      <c r="F160" s="10">
        <v>854.76400000000001</v>
      </c>
      <c r="G160" s="22">
        <v>207.44</v>
      </c>
      <c r="H160" s="22">
        <v>177312.24416</v>
      </c>
    </row>
    <row r="161" spans="1:8" x14ac:dyDescent="0.35">
      <c r="A161" s="12">
        <v>44371</v>
      </c>
      <c r="B161" s="10">
        <v>157.73599999999999</v>
      </c>
      <c r="C161" s="22">
        <v>214.82</v>
      </c>
      <c r="D161" s="22">
        <v>33884.847520000003</v>
      </c>
      <c r="E161" s="12">
        <v>44403</v>
      </c>
      <c r="F161" s="10">
        <v>157.73599999999999</v>
      </c>
      <c r="G161" s="22">
        <v>207.44</v>
      </c>
      <c r="H161" s="22">
        <v>32720.755840000002</v>
      </c>
    </row>
    <row r="162" spans="1:8" x14ac:dyDescent="0.35">
      <c r="A162" s="12">
        <v>44371</v>
      </c>
      <c r="B162" s="10">
        <v>168.14</v>
      </c>
      <c r="C162" s="22">
        <v>214.81</v>
      </c>
      <c r="D162" s="22">
        <v>36118.153399999996</v>
      </c>
      <c r="E162" s="12">
        <v>44466</v>
      </c>
      <c r="F162" s="10">
        <v>168.14</v>
      </c>
      <c r="G162" s="22">
        <v>313.58999999999997</v>
      </c>
      <c r="H162" s="22">
        <v>52727.022599999997</v>
      </c>
    </row>
    <row r="163" spans="1:8" x14ac:dyDescent="0.35">
      <c r="A163" s="12">
        <v>44371</v>
      </c>
      <c r="B163" s="10">
        <v>19.175999999999998</v>
      </c>
      <c r="C163" s="22">
        <v>214.81</v>
      </c>
      <c r="D163" s="22">
        <v>4119.1965600000003</v>
      </c>
      <c r="E163" s="12">
        <v>44466</v>
      </c>
      <c r="F163" s="10">
        <v>19.175999999999998</v>
      </c>
      <c r="G163" s="22">
        <v>313.60000000000002</v>
      </c>
      <c r="H163" s="22">
        <v>6013.5936000000002</v>
      </c>
    </row>
    <row r="164" spans="1:8" x14ac:dyDescent="0.35">
      <c r="A164" s="12">
        <v>45343</v>
      </c>
      <c r="B164" s="10">
        <v>1156.348</v>
      </c>
      <c r="C164" s="22">
        <v>172.53</v>
      </c>
      <c r="D164" s="22">
        <v>199504.72044</v>
      </c>
      <c r="E164" s="12">
        <v>45712</v>
      </c>
      <c r="F164" s="10">
        <v>1156.348</v>
      </c>
      <c r="G164" s="22">
        <v>96.210000000000008</v>
      </c>
      <c r="H164" s="22">
        <v>111252.24107999999</v>
      </c>
    </row>
    <row r="165" spans="1:8" x14ac:dyDescent="0.35">
      <c r="A165" s="12">
        <v>45343</v>
      </c>
      <c r="B165" s="10">
        <v>43.652000000000001</v>
      </c>
      <c r="C165" s="22">
        <v>172.54</v>
      </c>
      <c r="D165" s="22">
        <v>7531.7160800000001</v>
      </c>
      <c r="E165" s="12">
        <v>45712</v>
      </c>
      <c r="F165" s="10">
        <v>43.652000000000001</v>
      </c>
      <c r="G165" s="22">
        <v>96.210000000000008</v>
      </c>
      <c r="H165" s="22">
        <v>4199.7589200000002</v>
      </c>
    </row>
    <row r="166" spans="1:8" x14ac:dyDescent="0.35">
      <c r="A166" s="12">
        <v>45377</v>
      </c>
      <c r="B166" s="10">
        <v>4252.08</v>
      </c>
      <c r="C166" s="22">
        <v>139.78</v>
      </c>
      <c r="D166" s="22">
        <v>594355.74239999999</v>
      </c>
      <c r="E166" s="12">
        <v>45712</v>
      </c>
      <c r="F166" s="10">
        <v>4252.08</v>
      </c>
      <c r="G166" s="22">
        <v>96.210000000000008</v>
      </c>
      <c r="H166" s="22">
        <v>409092.61680000002</v>
      </c>
    </row>
    <row r="167" spans="1:8" x14ac:dyDescent="0.35">
      <c r="A167" s="12">
        <v>45377</v>
      </c>
      <c r="B167" s="10">
        <v>4147.92</v>
      </c>
      <c r="C167" s="22">
        <v>139.79</v>
      </c>
      <c r="D167" s="22">
        <v>579837.73680000007</v>
      </c>
      <c r="E167" s="12">
        <v>45712</v>
      </c>
      <c r="F167" s="10">
        <v>4147.92</v>
      </c>
      <c r="G167" s="22">
        <v>96.210000000000008</v>
      </c>
      <c r="H167" s="22">
        <v>399071.38319999998</v>
      </c>
    </row>
    <row r="168" spans="1:8" x14ac:dyDescent="0.35">
      <c r="A168" s="12">
        <v>45378</v>
      </c>
      <c r="B168" s="10">
        <v>200</v>
      </c>
      <c r="C168" s="22">
        <v>144.29</v>
      </c>
      <c r="D168" s="22">
        <v>28858</v>
      </c>
      <c r="E168" s="12">
        <v>45712</v>
      </c>
      <c r="F168" s="10">
        <v>200</v>
      </c>
      <c r="G168" s="22">
        <v>96.210000000000008</v>
      </c>
      <c r="H168" s="22">
        <v>19242</v>
      </c>
    </row>
    <row r="169" spans="1:8" x14ac:dyDescent="0.35">
      <c r="A169" s="12">
        <v>45378</v>
      </c>
      <c r="B169" s="10">
        <v>768.58</v>
      </c>
      <c r="C169" s="22">
        <v>144.28</v>
      </c>
      <c r="D169" s="22">
        <v>110890.7224</v>
      </c>
      <c r="E169" s="12">
        <v>45719</v>
      </c>
      <c r="F169" s="10">
        <v>768.58</v>
      </c>
      <c r="G169" s="22">
        <v>91.22</v>
      </c>
      <c r="H169" s="22">
        <v>70109.867599999998</v>
      </c>
    </row>
    <row r="170" spans="1:8" x14ac:dyDescent="0.35">
      <c r="A170" s="12">
        <v>45470</v>
      </c>
      <c r="B170" s="10">
        <v>1419.12</v>
      </c>
      <c r="C170" s="22">
        <v>151.26</v>
      </c>
      <c r="D170" s="22">
        <v>214656.09120000002</v>
      </c>
      <c r="E170" s="12">
        <v>45719</v>
      </c>
      <c r="F170" s="10">
        <v>1419.12</v>
      </c>
      <c r="G170" s="22">
        <v>91.23</v>
      </c>
      <c r="H170" s="22">
        <v>129466.31760000001</v>
      </c>
    </row>
    <row r="171" spans="1:8" x14ac:dyDescent="0.35">
      <c r="A171" s="12">
        <v>45470</v>
      </c>
      <c r="B171" s="10">
        <v>580.88</v>
      </c>
      <c r="C171" s="22">
        <v>151.25</v>
      </c>
      <c r="D171" s="22">
        <v>87858.1</v>
      </c>
      <c r="E171" s="12">
        <v>45719</v>
      </c>
      <c r="F171" s="10">
        <v>580.88</v>
      </c>
      <c r="G171" s="22">
        <v>91.23</v>
      </c>
      <c r="H171" s="22">
        <v>52993.682399999998</v>
      </c>
    </row>
    <row r="172" spans="1:8" x14ac:dyDescent="0.35">
      <c r="A172" s="12">
        <v>45378</v>
      </c>
      <c r="B172" s="10">
        <v>200</v>
      </c>
      <c r="C172" s="22">
        <v>144.29</v>
      </c>
      <c r="D172" s="22">
        <v>28858</v>
      </c>
      <c r="E172" s="12">
        <v>45712</v>
      </c>
      <c r="F172" s="10">
        <v>200</v>
      </c>
      <c r="G172" s="22">
        <v>96.2</v>
      </c>
      <c r="H172" s="22">
        <v>19240</v>
      </c>
    </row>
    <row r="173" spans="1:8" x14ac:dyDescent="0.35">
      <c r="A173" s="12">
        <v>45378</v>
      </c>
      <c r="B173" s="10">
        <v>4692.92</v>
      </c>
      <c r="C173" s="22">
        <v>144.29</v>
      </c>
      <c r="D173" s="22">
        <v>677141.42680000002</v>
      </c>
      <c r="E173" s="12">
        <v>45719</v>
      </c>
      <c r="F173" s="10">
        <v>4692.92</v>
      </c>
      <c r="G173" s="22">
        <v>91.22</v>
      </c>
      <c r="H173" s="22">
        <v>428088.16240000003</v>
      </c>
    </row>
    <row r="174" spans="1:8" x14ac:dyDescent="0.35">
      <c r="A174" s="12">
        <v>45378</v>
      </c>
      <c r="B174" s="10">
        <v>2538.5</v>
      </c>
      <c r="C174" s="22">
        <v>144.28</v>
      </c>
      <c r="D174" s="22">
        <v>366254.78</v>
      </c>
      <c r="E174" s="12">
        <v>45719</v>
      </c>
      <c r="F174" s="10">
        <v>2538.5</v>
      </c>
      <c r="G174" s="22">
        <v>91.23</v>
      </c>
      <c r="H174" s="22">
        <v>231587.35500000001</v>
      </c>
    </row>
    <row r="175" spans="1:8" x14ac:dyDescent="0.35">
      <c r="A175" s="12">
        <v>45470</v>
      </c>
      <c r="B175" s="10">
        <v>420.76</v>
      </c>
      <c r="C175" s="22">
        <v>151.25</v>
      </c>
      <c r="D175" s="22">
        <v>63639.95</v>
      </c>
      <c r="E175" s="12">
        <v>45737</v>
      </c>
      <c r="F175" s="10">
        <v>420.76</v>
      </c>
      <c r="G175" s="22">
        <v>106.18</v>
      </c>
      <c r="H175" s="22">
        <v>44676.296800000004</v>
      </c>
    </row>
    <row r="176" spans="1:8" x14ac:dyDescent="0.35">
      <c r="A176" s="12">
        <v>45470</v>
      </c>
      <c r="B176" s="10">
        <v>207.24</v>
      </c>
      <c r="C176" s="22">
        <v>151.25</v>
      </c>
      <c r="D176" s="22">
        <v>31345.05</v>
      </c>
      <c r="E176" s="12">
        <v>45737</v>
      </c>
      <c r="F176" s="10">
        <v>207.24</v>
      </c>
      <c r="G176" s="22">
        <v>106.17</v>
      </c>
      <c r="H176" s="22">
        <v>22002.6708</v>
      </c>
    </row>
    <row r="177" spans="1:9" x14ac:dyDescent="0.35">
      <c r="A177" s="20"/>
      <c r="B177" s="20">
        <v>39478.976000000002</v>
      </c>
      <c r="C177" s="21"/>
      <c r="D177" s="21">
        <v>6086636.8245599996</v>
      </c>
      <c r="E177" s="20"/>
      <c r="F177" s="20">
        <v>39478.976000000002</v>
      </c>
      <c r="G177" s="21"/>
      <c r="H177" s="21">
        <v>5297917.3735600002</v>
      </c>
    </row>
    <row r="178" spans="1:9" x14ac:dyDescent="0.35">
      <c r="A178" s="2"/>
      <c r="D178" s="4"/>
      <c r="E178" s="2"/>
    </row>
    <row r="179" spans="1:9" x14ac:dyDescent="0.35">
      <c r="A179" s="12">
        <v>44042</v>
      </c>
      <c r="B179" s="10">
        <v>662.4</v>
      </c>
      <c r="C179" s="11">
        <v>140.28</v>
      </c>
      <c r="D179" s="11">
        <v>92921.471999999994</v>
      </c>
      <c r="E179" s="12">
        <v>44403</v>
      </c>
      <c r="F179" s="10">
        <v>662.4</v>
      </c>
      <c r="G179" s="11">
        <v>207.85</v>
      </c>
      <c r="H179" s="11">
        <v>137679.84</v>
      </c>
      <c r="I179" s="23"/>
    </row>
    <row r="180" spans="1:9" x14ac:dyDescent="0.35">
      <c r="A180" s="12">
        <v>44042</v>
      </c>
      <c r="B180" s="10">
        <v>297.60000000000002</v>
      </c>
      <c r="C180" s="11">
        <v>140.29</v>
      </c>
      <c r="D180" s="11">
        <v>41750.303999999996</v>
      </c>
      <c r="E180" s="12">
        <v>44403</v>
      </c>
      <c r="F180" s="10">
        <v>297.60000000000002</v>
      </c>
      <c r="G180" s="11">
        <v>207.85</v>
      </c>
      <c r="H180" s="11">
        <v>61856.160000000003</v>
      </c>
      <c r="I180" s="23"/>
    </row>
    <row r="181" spans="1:9" x14ac:dyDescent="0.35">
      <c r="A181" s="12">
        <v>44371</v>
      </c>
      <c r="B181" s="10">
        <v>699.28</v>
      </c>
      <c r="C181" s="11">
        <v>214.82</v>
      </c>
      <c r="D181" s="11">
        <v>150219.3296</v>
      </c>
      <c r="E181" s="12">
        <v>44403</v>
      </c>
      <c r="F181" s="10">
        <v>699.28</v>
      </c>
      <c r="G181" s="11">
        <v>207.85</v>
      </c>
      <c r="H181" s="11">
        <v>145345.348</v>
      </c>
      <c r="I181" s="23"/>
    </row>
    <row r="182" spans="1:9" x14ac:dyDescent="0.35">
      <c r="A182" s="12">
        <v>44371</v>
      </c>
      <c r="B182" s="10">
        <v>365.92</v>
      </c>
      <c r="C182" s="11">
        <v>214.81</v>
      </c>
      <c r="D182" s="11">
        <v>78603.275200000004</v>
      </c>
      <c r="E182" s="12">
        <v>44403</v>
      </c>
      <c r="F182" s="10">
        <v>365.92</v>
      </c>
      <c r="G182" s="11">
        <v>207.84</v>
      </c>
      <c r="H182" s="11">
        <v>76052.8128</v>
      </c>
      <c r="I182" s="23"/>
    </row>
    <row r="183" spans="1:9" x14ac:dyDescent="0.35">
      <c r="A183" s="12">
        <v>44371</v>
      </c>
      <c r="B183" s="10">
        <v>774.8</v>
      </c>
      <c r="C183" s="11">
        <v>214.82</v>
      </c>
      <c r="D183" s="11">
        <v>166442.53599999999</v>
      </c>
      <c r="E183" s="12">
        <v>44403</v>
      </c>
      <c r="F183" s="10">
        <v>774.8</v>
      </c>
      <c r="G183" s="11">
        <v>207.84</v>
      </c>
      <c r="H183" s="11">
        <v>161034.432</v>
      </c>
      <c r="I183" s="23"/>
    </row>
    <row r="184" spans="1:9" x14ac:dyDescent="0.35">
      <c r="A184" s="12">
        <v>44371</v>
      </c>
      <c r="B184" s="10">
        <v>152</v>
      </c>
      <c r="C184" s="11">
        <v>214.81</v>
      </c>
      <c r="D184" s="11">
        <v>32651.119999999999</v>
      </c>
      <c r="E184" s="12">
        <v>44466</v>
      </c>
      <c r="F184" s="10">
        <v>152</v>
      </c>
      <c r="G184" s="11">
        <v>310.08</v>
      </c>
      <c r="H184" s="11">
        <v>47132.160000000003</v>
      </c>
      <c r="I184" s="23"/>
    </row>
    <row r="185" spans="1:9" x14ac:dyDescent="0.35">
      <c r="A185" s="12">
        <v>44406</v>
      </c>
      <c r="B185" s="10">
        <v>743.56</v>
      </c>
      <c r="C185" s="11">
        <v>199.16</v>
      </c>
      <c r="D185" s="11">
        <v>148087.40959999998</v>
      </c>
      <c r="E185" s="12">
        <v>44466</v>
      </c>
      <c r="F185" s="10">
        <v>743.56</v>
      </c>
      <c r="G185" s="11">
        <v>310.08</v>
      </c>
      <c r="H185" s="11">
        <v>230563.08480000001</v>
      </c>
      <c r="I185" s="23"/>
    </row>
    <row r="186" spans="1:9" x14ac:dyDescent="0.35">
      <c r="A186" s="12">
        <v>44406</v>
      </c>
      <c r="B186" s="10">
        <v>251</v>
      </c>
      <c r="C186" s="11">
        <v>199.17000000000002</v>
      </c>
      <c r="D186" s="11">
        <v>49991.67</v>
      </c>
      <c r="E186" s="12">
        <v>44595</v>
      </c>
      <c r="F186" s="10">
        <v>251</v>
      </c>
      <c r="G186" s="11">
        <v>289.93</v>
      </c>
      <c r="H186" s="11">
        <v>72772.429999999993</v>
      </c>
      <c r="I186" s="23"/>
    </row>
    <row r="187" spans="1:9" x14ac:dyDescent="0.35">
      <c r="A187" s="12">
        <v>44406</v>
      </c>
      <c r="B187" s="10">
        <v>260.44</v>
      </c>
      <c r="C187" s="11">
        <v>199.16</v>
      </c>
      <c r="D187" s="11">
        <v>51869.2304</v>
      </c>
      <c r="E187" s="12">
        <v>44466</v>
      </c>
      <c r="F187" s="10">
        <v>260.44</v>
      </c>
      <c r="G187" s="11">
        <v>310.07</v>
      </c>
      <c r="H187" s="11">
        <v>80754.630799999999</v>
      </c>
      <c r="I187" s="23"/>
    </row>
    <row r="188" spans="1:9" x14ac:dyDescent="0.35">
      <c r="A188" s="12">
        <v>44406</v>
      </c>
      <c r="B188" s="10">
        <v>49</v>
      </c>
      <c r="C188" s="11">
        <v>199.16</v>
      </c>
      <c r="D188" s="11">
        <v>9758.84</v>
      </c>
      <c r="E188" s="12">
        <v>44595</v>
      </c>
      <c r="F188" s="10">
        <v>49</v>
      </c>
      <c r="G188" s="11">
        <v>289.93</v>
      </c>
      <c r="H188" s="11">
        <v>14206.57</v>
      </c>
      <c r="I188" s="23"/>
    </row>
    <row r="189" spans="1:9" x14ac:dyDescent="0.35">
      <c r="A189" s="12">
        <v>44406</v>
      </c>
      <c r="B189" s="10">
        <v>100</v>
      </c>
      <c r="C189" s="11">
        <v>199.17000000000002</v>
      </c>
      <c r="D189" s="11">
        <v>19917</v>
      </c>
      <c r="E189" s="12">
        <v>44595</v>
      </c>
      <c r="F189" s="10">
        <v>100</v>
      </c>
      <c r="G189" s="11">
        <v>289.92</v>
      </c>
      <c r="H189" s="11">
        <v>28992</v>
      </c>
      <c r="I189" s="23"/>
    </row>
    <row r="190" spans="1:9" x14ac:dyDescent="0.35">
      <c r="A190" s="20"/>
      <c r="B190" s="20">
        <v>4356</v>
      </c>
      <c r="C190" s="21"/>
      <c r="D190" s="21">
        <v>842212.18679999991</v>
      </c>
      <c r="E190" s="20"/>
      <c r="F190" s="20">
        <v>4356</v>
      </c>
      <c r="G190" s="21"/>
      <c r="H190" s="21">
        <v>1056389.4683999999</v>
      </c>
    </row>
    <row r="191" spans="1:9" x14ac:dyDescent="0.35">
      <c r="A191" s="2"/>
      <c r="D191" s="4"/>
      <c r="E191" s="2"/>
    </row>
    <row r="192" spans="1:9" x14ac:dyDescent="0.35">
      <c r="A192" s="12">
        <v>45734</v>
      </c>
      <c r="B192" s="10">
        <v>7099.76</v>
      </c>
      <c r="C192" s="22">
        <v>102.12</v>
      </c>
      <c r="D192" s="22">
        <v>725027.49120000005</v>
      </c>
      <c r="E192" s="2"/>
    </row>
    <row r="193" spans="1:8" x14ac:dyDescent="0.35">
      <c r="A193" s="12">
        <v>45734</v>
      </c>
      <c r="B193" s="10">
        <v>1800.24</v>
      </c>
      <c r="C193" s="22">
        <v>102.13</v>
      </c>
      <c r="D193" s="22">
        <v>183858.51120000001</v>
      </c>
      <c r="E193" s="2"/>
    </row>
    <row r="194" spans="1:8" x14ac:dyDescent="0.35">
      <c r="A194" s="12">
        <v>45741</v>
      </c>
      <c r="B194" s="10">
        <v>2854.38</v>
      </c>
      <c r="C194" s="22">
        <v>102.91</v>
      </c>
      <c r="D194" s="22">
        <v>293744.24580000003</v>
      </c>
      <c r="E194" s="2"/>
    </row>
    <row r="195" spans="1:8" x14ac:dyDescent="0.35">
      <c r="A195" s="12">
        <v>45741</v>
      </c>
      <c r="B195" s="10">
        <v>45.62</v>
      </c>
      <c r="C195" s="22">
        <v>102.9</v>
      </c>
      <c r="D195" s="22">
        <v>4694.2979999999998</v>
      </c>
      <c r="E195" s="2"/>
    </row>
    <row r="196" spans="1:8" x14ac:dyDescent="0.35">
      <c r="A196" s="20"/>
      <c r="B196" s="20">
        <v>11800</v>
      </c>
      <c r="C196" s="21"/>
      <c r="D196" s="21">
        <v>1207324.5462</v>
      </c>
      <c r="E196" s="20"/>
      <c r="F196" s="20"/>
      <c r="G196" s="21"/>
      <c r="H196" s="21"/>
    </row>
  </sheetData>
  <mergeCells count="2">
    <mergeCell ref="A2:D2"/>
    <mergeCell ref="E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2026-06-02T10:42:35Z</dcterms:created>
  <dcterms:modified xsi:type="dcterms:W3CDTF">2026-06-02T10:42:53Z</dcterms:modified>
</cp:coreProperties>
</file>